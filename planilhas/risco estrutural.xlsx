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a0a0c30b8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liacao" sheetId="1" r:id="R8b0dae043c7d402e"/>
    <x:sheet xmlns:r="http://schemas.openxmlformats.org/officeDocument/2006/relationships" name="Parametros" sheetId="2" r:id="Rf539860bda224612"/>
    <x:sheet xmlns:r="http://schemas.openxmlformats.org/officeDocument/2006/relationships" name="Instrucoes" sheetId="3" r:id="R7527b386d9554d24"/>
  </x:sheets>
  <x:definedNames>
    <x:definedName name="_xlnm.Print_Titles" localSheetId="0">'Avaliacao'!$1:$8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Q13" authorId="0">
      <x:text>
        <x:r>
          <x:t>Conduta automática apenas como apoio. Confirmar em laudo técnico e inspeção in loco.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Peso ajustável conforme método interno de inspeção predial/Defesa Civil.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"/>
    <x:numFmt numFmtId="165" formatCode="0.0"/>
  </x:numFmts>
  <x:fonts count="9">
    <x:font>
      <x:sz val="11"/>
      <x:color theme="1"/>
      <x:name val="Calibri"/>
      <x:family val="2"/>
      <x:scheme val="minor"/>
    </x:font>
    <x:font>
      <x:b/>
      <x:sz val="16"/>
      <x:color rgb="00FFFFFF"/>
      <x:name val="Calibri"/>
    </x:font>
    <x:font>
      <x:b/>
      <x:sz val="10"/>
      <x:color rgb="00000000"/>
      <x:name val="Calibri"/>
    </x:font>
    <x:font>
      <x:sz val="10"/>
      <x:color rgb="000000FF"/>
      <x:name val="Calibri"/>
    </x:font>
    <x:font>
      <x:sz val="9"/>
      <x:color rgb="00C65911"/>
      <x:name val="Calibri"/>
    </x:font>
    <x:font>
      <x:b/>
      <x:sz val="11"/>
      <x:color rgb="00FFFFFF"/>
      <x:name val="Calibri"/>
    </x:font>
    <x:font>
      <x:sz val="10"/>
      <x:color rgb="00000000"/>
      <x:name val="Calibri"/>
    </x:font>
    <x:font>
      <x:b/>
      <x:sz val="10"/>
      <x:color rgb="00FFFFFF"/>
      <x:name val="Calibri"/>
    </x:font>
    <x:font>
      <x:sz val="9"/>
      <x:color rgb="00666666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EEF6FC"/>
      </x:patternFill>
    </x:fill>
    <x:fill>
      <x:patternFill patternType="solid">
        <x:fgColor rgb="00FCE4D6"/>
      </x:patternFill>
    </x:fill>
    <x:fill>
      <x:patternFill patternType="solid">
        <x:fgColor rgb="00E2F0D9"/>
      </x:patternFill>
    </x:fill>
    <x:fill>
      <x:patternFill patternType="solid">
        <x:fgColor rgb="00FFFFFF"/>
      </x:patternFill>
    </x:fill>
    <x:fill>
      <x:patternFill patternType="solid">
        <x:fgColor rgb="00F8FBFD"/>
      </x:patternFill>
    </x:fill>
    <x:fill>
      <x:patternFill patternType="solid">
        <x:fgColor rgb="00FFF2CC"/>
      </x:patternFill>
    </x:fill>
  </x:fills>
  <x:borders count="11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FBFBF"/>
      </x:top>
      <x:bottom/>
      <x:diagonal/>
    </x:border>
    <x:border>
      <x:left style="thin">
        <x:color rgb="00BFBFBF"/>
      </x:left>
      <x:right/>
      <x:top/>
      <x:bottom/>
      <x:diagonal/>
    </x:border>
    <x:border>
      <x:left/>
      <x:right style="thin">
        <x:color rgb="00BFBFBF"/>
      </x:right>
      <x:top style="thin">
        <x:color rgb="00BFBFBF"/>
      </x:top>
      <x:bottom/>
      <x:diagonal/>
    </x:border>
    <x:border>
      <x:left/>
      <x:right style="thin">
        <x:color rgb="00BFBFBF"/>
      </x:right>
      <x:top/>
      <x:bottom/>
      <x:diagonal/>
    </x:border>
    <x:border>
      <x:left style="thin">
        <x:color rgb="00BFBFBF"/>
      </x:left>
      <x:right/>
      <x:top/>
      <x:bottom style="thin">
        <x:color rgb="00BFBFBF"/>
      </x:bottom>
      <x:diagonal/>
    </x:border>
    <x:border>
      <x:left/>
      <x:right/>
      <x:top/>
      <x:bottom style="thin">
        <x:color rgb="00BFBFBF"/>
      </x:bottom>
      <x:diagonal/>
    </x:border>
    <x:border>
      <x:left/>
      <x:right style="thin">
        <x:color rgb="00BFBFBF"/>
      </x:right>
      <x:top/>
      <x:bottom style="thin">
        <x:color rgb="00BFBFBF"/>
      </x:bottom>
      <x:diagonal/>
    </x:border>
    <x:border>
      <x:left/>
      <x:right/>
      <x:top style="thin">
        <x:color rgb="00BFBFBF"/>
      </x:top>
      <x:bottom style="thin">
        <x:color rgb="00BFBFBF"/>
      </x:bottom>
      <x:diagonal/>
    </x:border>
    <x:border>
      <x:left/>
      <x:right style="thin">
        <x:color rgb="00BFBFBF"/>
      </x:right>
      <x:top style="thin">
        <x:color rgb="00BFBFBF"/>
      </x:top>
      <x:bottom style="thin">
        <x:color rgb="00BFBFBF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3" fillId="4" borderId="1" xfId="0" applyAlignment="1">
      <x:alignment horizontal="left" vertical="center"/>
    </x:xf>
    <x:xf numFmtId="164" fontId="3" fillId="4" borderId="1" xfId="0" applyAlignment="1">
      <x:alignment horizontal="left" vertical="center"/>
    </x:xf>
    <x:xf numFmtId="0" fontId="4" fillId="5" borderId="1" xfId="0" applyAlignment="1">
      <x:alignment vertical="center" wrapText="1"/>
    </x:xf>
    <x:xf numFmtId="0" fontId="0" fillId="0" borderId="1" xfId="0"/>
    <x:xf numFmtId="0" fontId="5" fillId="2" borderId="0" xfId="0" applyAlignment="1">
      <x:alignment horizontal="center"/>
    </x:xf>
    <x:xf numFmtId="0" fontId="7" fillId="2" borderId="1" xfId="0" applyAlignment="1">
      <x:alignment horizontal="center" vertical="center" wrapText="1"/>
    </x:xf>
    <x:xf numFmtId="0" fontId="2" fillId="3" borderId="1" xfId="0" applyAlignment="1">
      <x:alignment vertical="center"/>
    </x:xf>
    <x:xf numFmtId="0" fontId="6" fillId="6" borderId="1" xfId="0" applyAlignment="1">
      <x:alignment horizontal="center" vertical="center" wrapText="1"/>
    </x:xf>
    <x:xf numFmtId="0" fontId="3" fillId="4" borderId="1" xfId="0" applyAlignment="1">
      <x:alignment vertical="center" wrapText="1"/>
    </x:xf>
    <x:xf numFmtId="165" fontId="6" fillId="8" borderId="1" xfId="0" applyAlignment="1">
      <x:alignment horizontal="center" vertical="center" wrapText="1"/>
    </x:xf>
    <x:xf numFmtId="1" fontId="6" fillId="8" borderId="1" xfId="0" applyAlignment="1">
      <x:alignment horizontal="center" vertical="center" wrapText="1"/>
    </x:xf>
    <x:xf numFmtId="0" fontId="6" fillId="8" borderId="1" xfId="0" applyAlignment="1">
      <x:alignment horizontal="center" vertical="center" wrapText="1"/>
    </x:xf>
    <x:xf numFmtId="0" fontId="6" fillId="7" borderId="1" xfId="0" applyAlignment="1">
      <x:alignment vertical="center" wrapText="1"/>
    </x:xf>
    <x:xf numFmtId="165" fontId="6" fillId="6" borderId="1" xfId="0" applyAlignment="1">
      <x:alignment horizontal="center" vertical="center" wrapText="1"/>
    </x:xf>
    <x:xf numFmtId="0" fontId="2" fillId="9" borderId="1" xfId="0"/>
    <x:xf numFmtId="0" fontId="8" fillId="9" borderId="1" xfId="0"/>
    <x:xf numFmtId="0" fontId="7" fillId="2" borderId="1" xfId="0" applyAlignment="1">
      <x:alignment horizontal="center"/>
    </x:xf>
    <x:xf numFmtId="0" fontId="6" fillId="0" borderId="1" xfId="0" applyAlignment="1">
      <x:alignment vertical="center" wrapText="1"/>
    </x:xf>
    <x:xf numFmtId="0" fontId="1" fillId="2" borderId="0" xfId="0" applyAlignment="1">
      <x:alignment horizontal="left"/>
    </x:xf>
    <x:xf numFmtId="0" fontId="0" fillId="0" borderId="1" xfId="0" applyAlignment="1">
      <x:alignment vertical="top" wrapText="1"/>
    </x:xf>
    <x:xf numFmtId="0" fontId="0" fillId="0" borderId="2" xfId="0"/>
    <x:xf numFmtId="0" fontId="0" fillId="0" borderId="4" xfId="0"/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0" fillId="0" borderId="0" xfId="0" applyAlignment="1">
      <x:alignment horizontal="center" vertical="center" wrapText="1"/>
    </x:xf>
  </x:cellXfs>
  <x:cellStyles count="1">
    <x:cellStyle name="Normal" xfId="0"/>
  </x:cellStyles>
  <x:dxfs count="5">
    <x:dxf>
      <x:fill>
        <x:patternFill>
          <x:bgColor rgb="00E2F0D9"/>
        </x:patternFill>
      </x:fill>
    </x:dxf>
    <x:dxf>
      <x:fill>
        <x:patternFill>
          <x:bgColor rgb="00C6E0B4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fbe5743dd402b" /><Relationship Type="http://schemas.openxmlformats.org/officeDocument/2006/relationships/theme" Target="/xl/theme/theme1.xml" Id="Rc82898f874ab474a" /><Relationship Type="http://schemas.openxmlformats.org/officeDocument/2006/relationships/sharedStrings" Target="/xl/sharedStrings.xml" Id="R6e5fac2d3f3c415e" /><Relationship Type="http://schemas.openxmlformats.org/officeDocument/2006/relationships/worksheet" Target="/xl/worksheets/sheet1.xml" Id="R8b0dae043c7d402e" /><Relationship Type="http://schemas.openxmlformats.org/officeDocument/2006/relationships/worksheet" Target="/xl/worksheets/sheet2.xml" Id="Rf539860bda224612" /><Relationship Type="http://schemas.openxmlformats.org/officeDocument/2006/relationships/worksheet" Target="/xl/worksheets/sheet3.xml" Id="R7527b386d9554d24" /><Relationship Type="http://schemas.microsoft.com/office/2017/10/relationships/person" Target="/xl/persons/person.xml" Id="Ra91ee9f548e44a9d" /></Relationships>
</file>

<file path=xl/persons/person.xml><?xml version="1.0" encoding="utf-8"?>
<xltc:personList xmlns:xltc="http://schemas.microsoft.com/office/spreadsheetml/2018/threadedcomments">
  <xltc:person displayName="OpenAI" id="{45226578-02D3-39C3-2832-003FA5C92D5E}"/>
  <xltc:person displayName="OpenAI" id="{A974DCCA-0374-4CAE-54F2-0FE5A1B45BDF}"/>
</xltc:personList>
</file>

<file path=xl/tables/table1.xml><?xml version="1.0" encoding="utf-8"?>
<x:table xmlns:x="http://schemas.openxmlformats.org/spreadsheetml/2006/main" id="1" name="tbAvaliacao" displayName="tbAvaliacao" ref="A8:O33" headerRowCount="1">
  <x:autoFilter ref="A8:O33"/>
  <x:tableColumns count="15">
    <x:tableColumn id="1" name="ID"/>
    <x:tableColumn id="2" name="Sistema / Elemento"/>
    <x:tableColumn id="3" name="Estado"/>
    <x:tableColumn id="4" name="Gravidade"/>
    <x:tableColumn id="5" name="Extensão"/>
    <x:tableColumn id="6" name="Ativa?"/>
    <x:tableColumn id="7" name="Peso"/>
    <x:tableColumn id="8" name="Pts Estado"/>
    <x:tableColumn id="9" name="Pts Grav."/>
    <x:tableColumn id="10" name="Pts Ext."/>
    <x:tableColumn id="11" name="Pts Ativ."/>
    <x:tableColumn id="12" name="Pontuação"/>
    <x:tableColumn id="13" name="Classificação"/>
    <x:tableColumn id="14" name="Observação / Recomendação"/>
    <x:tableColumn id="15" name="Foto / Local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f1603773e71425f" /><Relationship Type="http://schemas.openxmlformats.org/officeDocument/2006/relationships/vmlDrawing" Target="/xl/drawings/vmldrawing.vml" Id="Rcaeb8b22cebd47ac" /><Relationship Type="http://schemas.openxmlformats.org/officeDocument/2006/relationships/table" Target="/xl/tables/table1.xml" Id="Rbf67e2a9e98f4f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da12c1e67974b2e" /><Relationship Type="http://schemas.openxmlformats.org/officeDocument/2006/relationships/vmlDrawing" Target="/xl/drawings/vmldrawing2.vml" Id="R7323d3bc5b1743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2" customWidth="1"/>
    <x:col min="3" max="3" width="16" customWidth="1"/>
    <x:col min="4" max="4" width="18" customWidth="1"/>
    <x:col min="5" max="5" width="14" customWidth="1"/>
    <x:col min="6" max="6" width="14" customWidth="1"/>
    <x:col min="7" max="7" width="10" customWidth="1"/>
    <x:col min="8" max="8" width="11" customWidth="1"/>
    <x:col min="9" max="9" width="12" customWidth="1"/>
    <x:col min="10" max="10" width="11" customWidth="1"/>
    <x:col min="11" max="11" width="10" customWidth="1"/>
    <x:col min="12" max="12" width="12" customWidth="1"/>
    <x:col min="13" max="13" width="16" customWidth="1"/>
    <x:col min="14" max="14" width="28" customWidth="1"/>
    <x:col min="15" max="15" width="18" customWidth="1"/>
    <x:col min="16" max="16" width="2" hidden="1" customWidth="1"/>
    <x:col min="17" max="17" width="24" customWidth="1"/>
    <x:col min="18" max="18" width="24" customWidth="1"/>
  </x:cols>
  <x:sheetData>
    <x:row r="1" ht="26" customHeight="1">
      <x:c r="A1" s="1" t="inlineStr">
        <x:is>
          <x:t xml:space="preserve">PLANILHA AUTOMÁTICA - AVALIAÇÃO DE EDIFICAÇÃO E RISCO ESTRUTURAL</x:t>
        </x:is>
      </x:c>
    </x:row>
    <x:row r="3">
      <x:c r="A3" s="2" t="inlineStr">
        <x:is>
          <x:t xml:space="preserve">Imóvel / Local</x:t>
        </x:is>
      </x:c>
      <x:c r="C3" s="3" t="n"/>
      <x:c r="D3" s="2" t="inlineStr">
        <x:is>
          <x:t xml:space="preserve">Data da vistoria</x:t>
        </x:is>
      </x:c>
      <x:c r="F3" s="4" t="n"/>
      <x:c r="H3" s="5" t="inlineStr">
        <x:is>
          <x:t xml:space="preserve">Preencha apenas as células em azul. A planilha calcula automaticamente a pontuação por item, a classificação do item e o risco global. Os pesos e faixas podem ser ajustados na aba 'Parametros' para adequação ao seu método interno.</x:t>
        </x:is>
      </x:c>
      <x:c r="I3" s="23" t="n"/>
      <x:c r="J3" s="23" t="n"/>
      <x:c r="K3" s="23" t="n"/>
      <x:c r="L3" s="23" t="n"/>
      <x:c r="M3" s="23" t="n"/>
      <x:c r="N3" s="23" t="n"/>
      <x:c r="O3" s="23" t="n"/>
      <x:c r="P3" s="23" t="n"/>
      <x:c r="Q3" s="23" t="n"/>
      <x:c r="R3" s="24" t="n"/>
    </x:row>
    <x:row r="4">
      <x:c r="A4" s="2" t="inlineStr">
        <x:is>
          <x:t xml:space="preserve">Endereço</x:t>
        </x:is>
      </x:c>
      <x:c r="C4" s="3" t="n"/>
      <x:c r="D4" s="2" t="inlineStr">
        <x:is>
          <x:t xml:space="preserve">Vistoriador</x:t>
        </x:is>
      </x:c>
      <x:c r="F4" s="3" t="n"/>
      <x:c r="H4" s="25" t="n"/>
      <x:c r="R4" s="26" t="n"/>
    </x:row>
    <x:row r="5">
      <x:c r="A5" s="2" t="inlineStr">
        <x:is>
          <x:t xml:space="preserve">Responsável / Proprietário</x:t>
        </x:is>
      </x:c>
      <x:c r="C5" s="3" t="n"/>
      <x:c r="D5" s="2" t="inlineStr">
        <x:is>
          <x:t xml:space="preserve">Nº do processo / protocolo</x:t>
        </x:is>
      </x:c>
      <x:c r="F5" s="3" t="n"/>
      <x:c r="H5" s="27" t="n"/>
      <x:c r="I5" s="28" t="n"/>
      <x:c r="J5" s="28" t="n"/>
      <x:c r="K5" s="28" t="n"/>
      <x:c r="L5" s="28" t="n"/>
      <x:c r="M5" s="28" t="n"/>
      <x:c r="N5" s="28" t="n"/>
      <x:c r="O5" s="28" t="n"/>
      <x:c r="P5" s="28" t="n"/>
      <x:c r="Q5" s="28" t="n"/>
      <x:c r="R5" s="29" t="n"/>
    </x:row>
    <x:row r="7">
      <x:c r="Q7" s="7" t="inlineStr">
        <x:is>
          <x:t xml:space="preserve">RESUMO AUTOMÁTICO</x:t>
        </x:is>
      </x:c>
    </x:row>
    <x:row r="8" ht="32" customHeight="1">
      <x:c r="A8" s="8" t="inlineStr">
        <x:is>
          <x:t xml:space="preserve">ID</x:t>
        </x:is>
      </x:c>
      <x:c r="B8" s="8" t="inlineStr">
        <x:is>
          <x:t xml:space="preserve">Sistema / Elemento</x:t>
        </x:is>
      </x:c>
      <x:c r="C8" s="8" t="inlineStr">
        <x:is>
          <x:t xml:space="preserve">Estado</x:t>
        </x:is>
      </x:c>
      <x:c r="D8" s="8" t="inlineStr">
        <x:is>
          <x:t xml:space="preserve">Gravidade</x:t>
        </x:is>
      </x:c>
      <x:c r="E8" s="8" t="inlineStr">
        <x:is>
          <x:t xml:space="preserve">Extensão</x:t>
        </x:is>
      </x:c>
      <x:c r="F8" s="8" t="inlineStr">
        <x:is>
          <x:t xml:space="preserve">Ativa?</x:t>
        </x:is>
      </x:c>
      <x:c r="G8" s="8" t="inlineStr">
        <x:is>
          <x:t xml:space="preserve">Peso</x:t>
        </x:is>
      </x:c>
      <x:c r="H8" s="8" t="inlineStr">
        <x:is>
          <x:t xml:space="preserve">Pts Estado</x:t>
        </x:is>
      </x:c>
      <x:c r="I8" s="8" t="inlineStr">
        <x:is>
          <x:t xml:space="preserve">Pts Grav.</x:t>
        </x:is>
      </x:c>
      <x:c r="J8" s="8" t="inlineStr">
        <x:is>
          <x:t xml:space="preserve">Pts Ext.</x:t>
        </x:is>
      </x:c>
      <x:c r="K8" s="8" t="inlineStr">
        <x:is>
          <x:t xml:space="preserve">Pts Ativ.</x:t>
        </x:is>
      </x:c>
      <x:c r="L8" s="8" t="inlineStr">
        <x:is>
          <x:t xml:space="preserve">Pontuação</x:t>
        </x:is>
      </x:c>
      <x:c r="M8" s="8" t="inlineStr">
        <x:is>
          <x:t xml:space="preserve">Classificação</x:t>
        </x:is>
      </x:c>
      <x:c r="N8" s="8" t="inlineStr">
        <x:is>
          <x:t xml:space="preserve">Observação / Recomendação</x:t>
        </x:is>
      </x:c>
      <x:c r="O8" s="8" t="inlineStr">
        <x:is>
          <x:t xml:space="preserve">Foto / Local</x:t>
        </x:is>
      </x:c>
      <x:c r="Q8" s="9" t="inlineStr">
        <x:is>
          <x:t xml:space="preserve">Itens avaliados</x:t>
        </x:is>
      </x:c>
      <x:c r="R8" s="10">
        <x:f>COUNTA(B9:B33)</x:f>
        <x:v>0</x:v>
      </x:c>
    </x:row>
    <x:row r="9" ht="24" customHeight="1">
      <x:c r="A9" t="n">
        <x:v>1</x:v>
      </x:c>
      <x:c r="B9" s="11" t="n"/>
      <x:c r="C9" s="11" t="n"/>
      <x:c r="D9" s="11" t="n"/>
      <x:c r="E9" s="11" t="n"/>
      <x:c r="F9" s="11" t="n"/>
      <x:c r="G9" s="12">
        <x:f>IFERROR(VLOOKUP(B9,Parametros!$A$2:$B$13,2,FALSE),0)</x:f>
        <x:v>0</x:v>
      </x:c>
      <x:c r="H9" s="13">
        <x:f>IFERROR(VLOOKUP(C9,Parametros!$D$2:$E$5,2,FALSE),0)</x:f>
        <x:v>0</x:v>
      </x:c>
      <x:c r="I9" s="13">
        <x:f>IFERROR(VLOOKUP(D9,Parametros!$G$2:$H$5,2,FALSE),0)</x:f>
        <x:v>0</x:v>
      </x:c>
      <x:c r="J9" s="13">
        <x:f>IFERROR(VLOOKUP(E9,Parametros!$J$2:$K$4,2,FALSE),0)</x:f>
        <x:v>0</x:v>
      </x:c>
      <x:c r="K9" s="13">
        <x:f>IFERROR(VLOOKUP(F9,Parametros!$M$2:$N$3,2,FALSE),0)</x:f>
        <x:v>0</x:v>
      </x:c>
      <x:c r="L9" s="12">
        <x:f>IF(B9="","",(H9+I9+J9+K9)*G9)</x:f>
      </x:c>
      <x:c r="M9" s="14">
        <x:f>IF(L9="","",IF(L9&lt;=3,"Muito Baixo",IF(L9&lt;=6,"Baixo",IF(L9&lt;=10,"Médio",IF(L9&lt;=14,"Alto","Muito Alto")))))</x:f>
      </x:c>
      <x:c r="N9" s="15" t="n"/>
      <x:c r="O9" s="15" t="n"/>
      <x:c r="Q9" s="9" t="inlineStr">
        <x:is>
          <x:t xml:space="preserve">Média da pontuação</x:t>
        </x:is>
      </x:c>
      <x:c r="R9" s="16">
        <x:f>IFERROR(AVERAGEIF(L9:L33,"&gt;0"),0)</x:f>
        <x:v>0</x:v>
      </x:c>
    </x:row>
    <x:row r="10" ht="24" customHeight="1">
      <x:c r="A10" t="n">
        <x:v>2</x:v>
      </x:c>
      <x:c r="B10" s="11" t="n"/>
      <x:c r="C10" s="11" t="n"/>
      <x:c r="D10" s="11" t="n"/>
      <x:c r="E10" s="11" t="n"/>
      <x:c r="F10" s="11" t="n"/>
      <x:c r="G10" s="12">
        <x:f>IFERROR(VLOOKUP(B10,Parametros!$A$2:$B$13,2,FALSE),0)</x:f>
        <x:v>0</x:v>
      </x:c>
      <x:c r="H10" s="13">
        <x:f>IFERROR(VLOOKUP(C10,Parametros!$D$2:$E$5,2,FALSE),0)</x:f>
        <x:v>0</x:v>
      </x:c>
      <x:c r="I10" s="13">
        <x:f>IFERROR(VLOOKUP(D10,Parametros!$G$2:$H$5,2,FALSE),0)</x:f>
        <x:v>0</x:v>
      </x:c>
      <x:c r="J10" s="13">
        <x:f>IFERROR(VLOOKUP(E10,Parametros!$J$2:$K$4,2,FALSE),0)</x:f>
        <x:v>0</x:v>
      </x:c>
      <x:c r="K10" s="13">
        <x:f>IFERROR(VLOOKUP(F10,Parametros!$M$2:$N$3,2,FALSE),0)</x:f>
        <x:v>0</x:v>
      </x:c>
      <x:c r="L10" s="12">
        <x:f>IF(B10="","",(H10+I10+J10+K10)*G10)</x:f>
      </x:c>
      <x:c r="M10" s="14">
        <x:f>IF(L10="","",IF(L10&lt;=3,"Muito Baixo",IF(L10&lt;=6,"Baixo",IF(L10&lt;=10,"Médio",IF(L10&lt;=14,"Alto","Muito Alto")))))</x:f>
      </x:c>
      <x:c r="N10" s="15" t="n"/>
      <x:c r="O10" s="15" t="n"/>
      <x:c r="Q10" s="9" t="inlineStr">
        <x:is>
          <x:t xml:space="preserve">Maior pontuação</x:t>
        </x:is>
      </x:c>
      <x:c r="R10" s="16">
        <x:f>MAX(L9:L33)</x:f>
        <x:v>0</x:v>
      </x:c>
    </x:row>
    <x:row r="11" ht="24" customHeight="1">
      <x:c r="A11" t="n">
        <x:v>3</x:v>
      </x:c>
      <x:c r="B11" s="11" t="n"/>
      <x:c r="C11" s="11" t="n"/>
      <x:c r="D11" s="11" t="n"/>
      <x:c r="E11" s="11" t="n"/>
      <x:c r="F11" s="11" t="n"/>
      <x:c r="G11" s="12">
        <x:f>IFERROR(VLOOKUP(B11,Parametros!$A$2:$B$13,2,FALSE),0)</x:f>
        <x:v>0</x:v>
      </x:c>
      <x:c r="H11" s="13">
        <x:f>IFERROR(VLOOKUP(C11,Parametros!$D$2:$E$5,2,FALSE),0)</x:f>
        <x:v>0</x:v>
      </x:c>
      <x:c r="I11" s="13">
        <x:f>IFERROR(VLOOKUP(D11,Parametros!$G$2:$H$5,2,FALSE),0)</x:f>
        <x:v>0</x:v>
      </x:c>
      <x:c r="J11" s="13">
        <x:f>IFERROR(VLOOKUP(E11,Parametros!$J$2:$K$4,2,FALSE),0)</x:f>
        <x:v>0</x:v>
      </x:c>
      <x:c r="K11" s="13">
        <x:f>IFERROR(VLOOKUP(F11,Parametros!$M$2:$N$3,2,FALSE),0)</x:f>
        <x:v>0</x:v>
      </x:c>
      <x:c r="L11" s="12">
        <x:f>IF(B11="","",(H11+I11+J11+K11)*G11)</x:f>
      </x:c>
      <x:c r="M11" s="14">
        <x:f>IF(L11="","",IF(L11&lt;=3,"Muito Baixo",IF(L11&lt;=6,"Baixo",IF(L11&lt;=10,"Médio",IF(L11&lt;=14,"Alto","Muito Alto")))))</x:f>
      </x:c>
      <x:c r="N11" s="15" t="n"/>
      <x:c r="O11" s="15" t="n"/>
      <x:c r="Q11" s="9" t="inlineStr">
        <x:is>
          <x:t xml:space="preserve">Itens Alto/Muito Alto</x:t>
        </x:is>
      </x:c>
      <x:c r="R11" s="10">
        <x:f>COUNTIF(M9:M33,"Alto")+COUNTIF(M9:M33,"Muito Alto")</x:f>
        <x:v>0</x:v>
      </x:c>
    </x:row>
    <x:row r="12" ht="24" customHeight="1">
      <x:c r="A12" t="n">
        <x:v>4</x:v>
      </x:c>
      <x:c r="B12" s="11" t="n"/>
      <x:c r="C12" s="11" t="n"/>
      <x:c r="D12" s="11" t="n"/>
      <x:c r="E12" s="11" t="n"/>
      <x:c r="F12" s="11" t="n"/>
      <x:c r="G12" s="12">
        <x:f>IFERROR(VLOOKUP(B12,Parametros!$A$2:$B$13,2,FALSE),0)</x:f>
        <x:v>0</x:v>
      </x:c>
      <x:c r="H12" s="13">
        <x:f>IFERROR(VLOOKUP(C12,Parametros!$D$2:$E$5,2,FALSE),0)</x:f>
        <x:v>0</x:v>
      </x:c>
      <x:c r="I12" s="13">
        <x:f>IFERROR(VLOOKUP(D12,Parametros!$G$2:$H$5,2,FALSE),0)</x:f>
        <x:v>0</x:v>
      </x:c>
      <x:c r="J12" s="13">
        <x:f>IFERROR(VLOOKUP(E12,Parametros!$J$2:$K$4,2,FALSE),0)</x:f>
        <x:v>0</x:v>
      </x:c>
      <x:c r="K12" s="13">
        <x:f>IFERROR(VLOOKUP(F12,Parametros!$M$2:$N$3,2,FALSE),0)</x:f>
        <x:v>0</x:v>
      </x:c>
      <x:c r="L12" s="12">
        <x:f>IF(B12="","",(H12+I12+J12+K12)*G12)</x:f>
      </x:c>
      <x:c r="M12" s="14">
        <x:f>IF(L12="","",IF(L12&lt;=3,"Muito Baixo",IF(L12&lt;=6,"Baixo",IF(L12&lt;=10,"Médio",IF(L12&lt;=14,"Alto","Muito Alto")))))</x:f>
      </x:c>
      <x:c r="N12" s="15" t="n"/>
      <x:c r="O12" s="15" t="n"/>
      <x:c r="Q12" s="9" t="inlineStr">
        <x:is>
          <x:t xml:space="preserve">Risco global</x:t>
        </x:is>
      </x:c>
      <x:c r="R12" s="10" t="str">
        <x:f>IF(OR(R10&gt;=15,R11&gt;=2),"R4 - Muito Alto",IF(R10&gt;=11,"R3 - Alto",IF(R9&gt;=6,"R2 - Médio","R1 - Baixo")))</x:f>
        <x:v>R1 - Baixo</x:v>
      </x:c>
    </x:row>
    <x:row r="13" ht="42" customHeight="1">
      <x:c r="A13" t="n">
        <x:v>5</x:v>
      </x:c>
      <x:c r="B13" s="11" t="n"/>
      <x:c r="C13" s="11" t="n"/>
      <x:c r="D13" s="11" t="n"/>
      <x:c r="E13" s="11" t="n"/>
      <x:c r="F13" s="11" t="n"/>
      <x:c r="G13" s="12">
        <x:f>IFERROR(VLOOKUP(B13,Parametros!$A$2:$B$13,2,FALSE),0)</x:f>
        <x:v>0</x:v>
      </x:c>
      <x:c r="H13" s="13">
        <x:f>IFERROR(VLOOKUP(C13,Parametros!$D$2:$E$5,2,FALSE),0)</x:f>
        <x:v>0</x:v>
      </x:c>
      <x:c r="I13" s="13">
        <x:f>IFERROR(VLOOKUP(D13,Parametros!$G$2:$H$5,2,FALSE),0)</x:f>
        <x:v>0</x:v>
      </x:c>
      <x:c r="J13" s="13">
        <x:f>IFERROR(VLOOKUP(E13,Parametros!$J$2:$K$4,2,FALSE),0)</x:f>
        <x:v>0</x:v>
      </x:c>
      <x:c r="K13" s="13">
        <x:f>IFERROR(VLOOKUP(F13,Parametros!$M$2:$N$3,2,FALSE),0)</x:f>
        <x:v>0</x:v>
      </x:c>
      <x:c r="L13" s="12">
        <x:f>IF(B13="","",(H13+I13+J13+K13)*G13)</x:f>
      </x:c>
      <x:c r="M13" s="14">
        <x:f>IF(L13="","",IF(L13&lt;=3,"Muito Baixo",IF(L13&lt;=6,"Baixo",IF(L13&lt;=10,"Médio",IF(L13&lt;=14,"Alto","Muito Alto")))))</x:f>
      </x:c>
      <x:c r="N13" s="15" t="n"/>
      <x:c r="O13" s="15" t="n"/>
      <x:c r="Q13" s="9" t="inlineStr">
        <x:is>
          <x:t xml:space="preserve">Conduta sugerida</x:t>
        </x:is>
      </x:c>
      <x:c r="R13" s="10" t="str">
        <x:f>IF(R12="R4 - Muito Alto","Interdição imediata e laudo estrutural urgente",IF(R12="R3 - Alto","Inspeção estrutural prioritária e intervenção corretiva",IF(R12="R2 - Médio","Programar reparos, monitoramento e nova vistoria","Manutenção preventiva e acompanhamento")))</x:f>
        <x:v>Manutenção preventiva e acompanhamento</x:v>
      </x:c>
    </x:row>
    <x:row r="14" ht="24" customHeight="1">
      <x:c r="A14" t="n">
        <x:v>6</x:v>
      </x:c>
      <x:c r="B14" s="11" t="n"/>
      <x:c r="C14" s="11" t="n"/>
      <x:c r="D14" s="11" t="n"/>
      <x:c r="E14" s="11" t="n"/>
      <x:c r="F14" s="11" t="n"/>
      <x:c r="G14" s="12">
        <x:f>IFERROR(VLOOKUP(B14,Parametros!$A$2:$B$13,2,FALSE),0)</x:f>
        <x:v>0</x:v>
      </x:c>
      <x:c r="H14" s="13">
        <x:f>IFERROR(VLOOKUP(C14,Parametros!$D$2:$E$5,2,FALSE),0)</x:f>
        <x:v>0</x:v>
      </x:c>
      <x:c r="I14" s="13">
        <x:f>IFERROR(VLOOKUP(D14,Parametros!$G$2:$H$5,2,FALSE),0)</x:f>
        <x:v>0</x:v>
      </x:c>
      <x:c r="J14" s="13">
        <x:f>IFERROR(VLOOKUP(E14,Parametros!$J$2:$K$4,2,FALSE),0)</x:f>
        <x:v>0</x:v>
      </x:c>
      <x:c r="K14" s="13">
        <x:f>IFERROR(VLOOKUP(F14,Parametros!$M$2:$N$3,2,FALSE),0)</x:f>
        <x:v>0</x:v>
      </x:c>
      <x:c r="L14" s="12">
        <x:f>IF(B14="","",(H14+I14+J14+K14)*G14)</x:f>
      </x:c>
      <x:c r="M14" s="14">
        <x:f>IF(L14="","",IF(L14&lt;=3,"Muito Baixo",IF(L14&lt;=6,"Baixo",IF(L14&lt;=10,"Médio",IF(L14&lt;=14,"Alto","Muito Alto")))))</x:f>
      </x:c>
      <x:c r="N14" s="15" t="n"/>
      <x:c r="O14" s="15" t="n"/>
    </x:row>
    <x:row r="15" ht="24" customHeight="1">
      <x:c r="A15" t="n">
        <x:v>7</x:v>
      </x:c>
      <x:c r="B15" s="11" t="n"/>
      <x:c r="C15" s="11" t="n"/>
      <x:c r="D15" s="11" t="n"/>
      <x:c r="E15" s="11" t="n"/>
      <x:c r="F15" s="11" t="n"/>
      <x:c r="G15" s="12">
        <x:f>IFERROR(VLOOKUP(B15,Parametros!$A$2:$B$13,2,FALSE),0)</x:f>
        <x:v>0</x:v>
      </x:c>
      <x:c r="H15" s="13">
        <x:f>IFERROR(VLOOKUP(C15,Parametros!$D$2:$E$5,2,FALSE),0)</x:f>
        <x:v>0</x:v>
      </x:c>
      <x:c r="I15" s="13">
        <x:f>IFERROR(VLOOKUP(D15,Parametros!$G$2:$H$5,2,FALSE),0)</x:f>
        <x:v>0</x:v>
      </x:c>
      <x:c r="J15" s="13">
        <x:f>IFERROR(VLOOKUP(E15,Parametros!$J$2:$K$4,2,FALSE),0)</x:f>
        <x:v>0</x:v>
      </x:c>
      <x:c r="K15" s="13">
        <x:f>IFERROR(VLOOKUP(F15,Parametros!$M$2:$N$3,2,FALSE),0)</x:f>
        <x:v>0</x:v>
      </x:c>
      <x:c r="L15" s="12">
        <x:f>IF(B15="","",(H15+I15+J15+K15)*G15)</x:f>
      </x:c>
      <x:c r="M15" s="14">
        <x:f>IF(L15="","",IF(L15&lt;=3,"Muito Baixo",IF(L15&lt;=6,"Baixo",IF(L15&lt;=10,"Médio",IF(L15&lt;=14,"Alto","Muito Alto")))))</x:f>
      </x:c>
      <x:c r="N15" s="15" t="n"/>
      <x:c r="O15" s="15" t="n"/>
    </x:row>
    <x:row r="16" ht="24" customHeight="1">
      <x:c r="A16" t="n">
        <x:v>8</x:v>
      </x:c>
      <x:c r="B16" s="11" t="n"/>
      <x:c r="C16" s="11" t="n"/>
      <x:c r="D16" s="11" t="n"/>
      <x:c r="E16" s="11" t="n"/>
      <x:c r="F16" s="11" t="n"/>
      <x:c r="G16" s="12">
        <x:f>IFERROR(VLOOKUP(B16,Parametros!$A$2:$B$13,2,FALSE),0)</x:f>
        <x:v>0</x:v>
      </x:c>
      <x:c r="H16" s="13">
        <x:f>IFERROR(VLOOKUP(C16,Parametros!$D$2:$E$5,2,FALSE),0)</x:f>
        <x:v>0</x:v>
      </x:c>
      <x:c r="I16" s="13">
        <x:f>IFERROR(VLOOKUP(D16,Parametros!$G$2:$H$5,2,FALSE),0)</x:f>
        <x:v>0</x:v>
      </x:c>
      <x:c r="J16" s="13">
        <x:f>IFERROR(VLOOKUP(E16,Parametros!$J$2:$K$4,2,FALSE),0)</x:f>
        <x:v>0</x:v>
      </x:c>
      <x:c r="K16" s="13">
        <x:f>IFERROR(VLOOKUP(F16,Parametros!$M$2:$N$3,2,FALSE),0)</x:f>
        <x:v>0</x:v>
      </x:c>
      <x:c r="L16" s="12">
        <x:f>IF(B16="","",(H16+I16+J16+K16)*G16)</x:f>
      </x:c>
      <x:c r="M16" s="14">
        <x:f>IF(L16="","",IF(L16&lt;=3,"Muito Baixo",IF(L16&lt;=6,"Baixo",IF(L16&lt;=10,"Médio",IF(L16&lt;=14,"Alto","Muito Alto")))))</x:f>
      </x:c>
      <x:c r="N16" s="15" t="n"/>
      <x:c r="O16" s="15" t="n"/>
    </x:row>
    <x:row r="17" ht="24" customHeight="1">
      <x:c r="A17" t="n">
        <x:v>9</x:v>
      </x:c>
      <x:c r="B17" s="11" t="n"/>
      <x:c r="C17" s="11" t="n"/>
      <x:c r="D17" s="11" t="n"/>
      <x:c r="E17" s="11" t="n"/>
      <x:c r="F17" s="11" t="n"/>
      <x:c r="G17" s="12">
        <x:f>IFERROR(VLOOKUP(B17,Parametros!$A$2:$B$13,2,FALSE),0)</x:f>
        <x:v>0</x:v>
      </x:c>
      <x:c r="H17" s="13">
        <x:f>IFERROR(VLOOKUP(C17,Parametros!$D$2:$E$5,2,FALSE),0)</x:f>
        <x:v>0</x:v>
      </x:c>
      <x:c r="I17" s="13">
        <x:f>IFERROR(VLOOKUP(D17,Parametros!$G$2:$H$5,2,FALSE),0)</x:f>
        <x:v>0</x:v>
      </x:c>
      <x:c r="J17" s="13">
        <x:f>IFERROR(VLOOKUP(E17,Parametros!$J$2:$K$4,2,FALSE),0)</x:f>
        <x:v>0</x:v>
      </x:c>
      <x:c r="K17" s="13">
        <x:f>IFERROR(VLOOKUP(F17,Parametros!$M$2:$N$3,2,FALSE),0)</x:f>
        <x:v>0</x:v>
      </x:c>
      <x:c r="L17" s="12">
        <x:f>IF(B17="","",(H17+I17+J17+K17)*G17)</x:f>
      </x:c>
      <x:c r="M17" s="14">
        <x:f>IF(L17="","",IF(L17&lt;=3,"Muito Baixo",IF(L17&lt;=6,"Baixo",IF(L17&lt;=10,"Médio",IF(L17&lt;=14,"Alto","Muito Alto")))))</x:f>
      </x:c>
      <x:c r="N17" s="15" t="n"/>
      <x:c r="O17" s="15" t="n"/>
    </x:row>
    <x:row r="18" ht="24" customHeight="1">
      <x:c r="A18" t="n">
        <x:v>10</x:v>
      </x:c>
      <x:c r="B18" s="11" t="n"/>
      <x:c r="C18" s="11" t="n"/>
      <x:c r="D18" s="11" t="n"/>
      <x:c r="E18" s="11" t="n"/>
      <x:c r="F18" s="11" t="n"/>
      <x:c r="G18" s="12">
        <x:f>IFERROR(VLOOKUP(B18,Parametros!$A$2:$B$13,2,FALSE),0)</x:f>
        <x:v>0</x:v>
      </x:c>
      <x:c r="H18" s="13">
        <x:f>IFERROR(VLOOKUP(C18,Parametros!$D$2:$E$5,2,FALSE),0)</x:f>
        <x:v>0</x:v>
      </x:c>
      <x:c r="I18" s="13">
        <x:f>IFERROR(VLOOKUP(D18,Parametros!$G$2:$H$5,2,FALSE),0)</x:f>
        <x:v>0</x:v>
      </x:c>
      <x:c r="J18" s="13">
        <x:f>IFERROR(VLOOKUP(E18,Parametros!$J$2:$K$4,2,FALSE),0)</x:f>
        <x:v>0</x:v>
      </x:c>
      <x:c r="K18" s="13">
        <x:f>IFERROR(VLOOKUP(F18,Parametros!$M$2:$N$3,2,FALSE),0)</x:f>
        <x:v>0</x:v>
      </x:c>
      <x:c r="L18" s="12">
        <x:f>IF(B18="","",(H18+I18+J18+K18)*G18)</x:f>
      </x:c>
      <x:c r="M18" s="14">
        <x:f>IF(L18="","",IF(L18&lt;=3,"Muito Baixo",IF(L18&lt;=6,"Baixo",IF(L18&lt;=10,"Médio",IF(L18&lt;=14,"Alto","Muito Alto")))))</x:f>
      </x:c>
      <x:c r="N18" s="15" t="n"/>
      <x:c r="O18" s="15" t="n"/>
    </x:row>
    <x:row r="19" ht="24" customHeight="1">
      <x:c r="A19" t="n">
        <x:v>11</x:v>
      </x:c>
      <x:c r="B19" s="11" t="n"/>
      <x:c r="C19" s="11" t="n"/>
      <x:c r="D19" s="11" t="n"/>
      <x:c r="E19" s="11" t="n"/>
      <x:c r="F19" s="11" t="n"/>
      <x:c r="G19" s="12">
        <x:f>IFERROR(VLOOKUP(B19,Parametros!$A$2:$B$13,2,FALSE),0)</x:f>
        <x:v>0</x:v>
      </x:c>
      <x:c r="H19" s="13">
        <x:f>IFERROR(VLOOKUP(C19,Parametros!$D$2:$E$5,2,FALSE),0)</x:f>
        <x:v>0</x:v>
      </x:c>
      <x:c r="I19" s="13">
        <x:f>IFERROR(VLOOKUP(D19,Parametros!$G$2:$H$5,2,FALSE),0)</x:f>
        <x:v>0</x:v>
      </x:c>
      <x:c r="J19" s="13">
        <x:f>IFERROR(VLOOKUP(E19,Parametros!$J$2:$K$4,2,FALSE),0)</x:f>
        <x:v>0</x:v>
      </x:c>
      <x:c r="K19" s="13">
        <x:f>IFERROR(VLOOKUP(F19,Parametros!$M$2:$N$3,2,FALSE),0)</x:f>
        <x:v>0</x:v>
      </x:c>
      <x:c r="L19" s="12">
        <x:f>IF(B19="","",(H19+I19+J19+K19)*G19)</x:f>
      </x:c>
      <x:c r="M19" s="14">
        <x:f>IF(L19="","",IF(L19&lt;=3,"Muito Baixo",IF(L19&lt;=6,"Baixo",IF(L19&lt;=10,"Médio",IF(L19&lt;=14,"Alto","Muito Alto")))))</x:f>
      </x:c>
      <x:c r="N19" s="15" t="n"/>
      <x:c r="O19" s="15" t="n"/>
    </x:row>
    <x:row r="20" ht="24" customHeight="1">
      <x:c r="A20" t="n">
        <x:v>12</x:v>
      </x:c>
      <x:c r="B20" s="11" t="n"/>
      <x:c r="C20" s="11" t="n"/>
      <x:c r="D20" s="11" t="n"/>
      <x:c r="E20" s="11" t="n"/>
      <x:c r="F20" s="11" t="n"/>
      <x:c r="G20" s="12">
        <x:f>IFERROR(VLOOKUP(B20,Parametros!$A$2:$B$13,2,FALSE),0)</x:f>
        <x:v>0</x:v>
      </x:c>
      <x:c r="H20" s="13">
        <x:f>IFERROR(VLOOKUP(C20,Parametros!$D$2:$E$5,2,FALSE),0)</x:f>
        <x:v>0</x:v>
      </x:c>
      <x:c r="I20" s="13">
        <x:f>IFERROR(VLOOKUP(D20,Parametros!$G$2:$H$5,2,FALSE),0)</x:f>
        <x:v>0</x:v>
      </x:c>
      <x:c r="J20" s="13">
        <x:f>IFERROR(VLOOKUP(E20,Parametros!$J$2:$K$4,2,FALSE),0)</x:f>
        <x:v>0</x:v>
      </x:c>
      <x:c r="K20" s="13">
        <x:f>IFERROR(VLOOKUP(F20,Parametros!$M$2:$N$3,2,FALSE),0)</x:f>
        <x:v>0</x:v>
      </x:c>
      <x:c r="L20" s="12">
        <x:f>IF(B20="","",(H20+I20+J20+K20)*G20)</x:f>
      </x:c>
      <x:c r="M20" s="14">
        <x:f>IF(L20="","",IF(L20&lt;=3,"Muito Baixo",IF(L20&lt;=6,"Baixo",IF(L20&lt;=10,"Médio",IF(L20&lt;=14,"Alto","Muito Alto")))))</x:f>
      </x:c>
      <x:c r="N20" s="15" t="n"/>
      <x:c r="O20" s="15" t="n"/>
    </x:row>
    <x:row r="21" ht="24" customHeight="1">
      <x:c r="A21" t="n">
        <x:v>13</x:v>
      </x:c>
      <x:c r="B21" s="11" t="n"/>
      <x:c r="C21" s="11" t="n"/>
      <x:c r="D21" s="11" t="n"/>
      <x:c r="E21" s="11" t="n"/>
      <x:c r="F21" s="11" t="n"/>
      <x:c r="G21" s="12">
        <x:f>IFERROR(VLOOKUP(B21,Parametros!$A$2:$B$13,2,FALSE),0)</x:f>
        <x:v>0</x:v>
      </x:c>
      <x:c r="H21" s="13">
        <x:f>IFERROR(VLOOKUP(C21,Parametros!$D$2:$E$5,2,FALSE),0)</x:f>
        <x:v>0</x:v>
      </x:c>
      <x:c r="I21" s="13">
        <x:f>IFERROR(VLOOKUP(D21,Parametros!$G$2:$H$5,2,FALSE),0)</x:f>
        <x:v>0</x:v>
      </x:c>
      <x:c r="J21" s="13">
        <x:f>IFERROR(VLOOKUP(E21,Parametros!$J$2:$K$4,2,FALSE),0)</x:f>
        <x:v>0</x:v>
      </x:c>
      <x:c r="K21" s="13">
        <x:f>IFERROR(VLOOKUP(F21,Parametros!$M$2:$N$3,2,FALSE),0)</x:f>
        <x:v>0</x:v>
      </x:c>
      <x:c r="L21" s="12">
        <x:f>IF(B21="","",(H21+I21+J21+K21)*G21)</x:f>
      </x:c>
      <x:c r="M21" s="14">
        <x:f>IF(L21="","",IF(L21&lt;=3,"Muito Baixo",IF(L21&lt;=6,"Baixo",IF(L21&lt;=10,"Médio",IF(L21&lt;=14,"Alto","Muito Alto")))))</x:f>
      </x:c>
      <x:c r="N21" s="15" t="n"/>
      <x:c r="O21" s="15" t="n"/>
    </x:row>
    <x:row r="22" ht="24" customHeight="1">
      <x:c r="A22" t="n">
        <x:v>14</x:v>
      </x:c>
      <x:c r="B22" s="11" t="n"/>
      <x:c r="C22" s="11" t="n"/>
      <x:c r="D22" s="11" t="n"/>
      <x:c r="E22" s="11" t="n"/>
      <x:c r="F22" s="11" t="n"/>
      <x:c r="G22" s="12">
        <x:f>IFERROR(VLOOKUP(B22,Parametros!$A$2:$B$13,2,FALSE),0)</x:f>
        <x:v>0</x:v>
      </x:c>
      <x:c r="H22" s="13">
        <x:f>IFERROR(VLOOKUP(C22,Parametros!$D$2:$E$5,2,FALSE),0)</x:f>
        <x:v>0</x:v>
      </x:c>
      <x:c r="I22" s="13">
        <x:f>IFERROR(VLOOKUP(D22,Parametros!$G$2:$H$5,2,FALSE),0)</x:f>
        <x:v>0</x:v>
      </x:c>
      <x:c r="J22" s="13">
        <x:f>IFERROR(VLOOKUP(E22,Parametros!$J$2:$K$4,2,FALSE),0)</x:f>
        <x:v>0</x:v>
      </x:c>
      <x:c r="K22" s="13">
        <x:f>IFERROR(VLOOKUP(F22,Parametros!$M$2:$N$3,2,FALSE),0)</x:f>
        <x:v>0</x:v>
      </x:c>
      <x:c r="L22" s="12">
        <x:f>IF(B22="","",(H22+I22+J22+K22)*G22)</x:f>
      </x:c>
      <x:c r="M22" s="14">
        <x:f>IF(L22="","",IF(L22&lt;=3,"Muito Baixo",IF(L22&lt;=6,"Baixo",IF(L22&lt;=10,"Médio",IF(L22&lt;=14,"Alto","Muito Alto")))))</x:f>
      </x:c>
      <x:c r="N22" s="15" t="n"/>
      <x:c r="O22" s="15" t="n"/>
    </x:row>
    <x:row r="23" ht="24" customHeight="1">
      <x:c r="A23" t="n">
        <x:v>15</x:v>
      </x:c>
      <x:c r="B23" s="11" t="n"/>
      <x:c r="C23" s="11" t="n"/>
      <x:c r="D23" s="11" t="n"/>
      <x:c r="E23" s="11" t="n"/>
      <x:c r="F23" s="11" t="n"/>
      <x:c r="G23" s="12">
        <x:f>IFERROR(VLOOKUP(B23,Parametros!$A$2:$B$13,2,FALSE),0)</x:f>
        <x:v>0</x:v>
      </x:c>
      <x:c r="H23" s="13">
        <x:f>IFERROR(VLOOKUP(C23,Parametros!$D$2:$E$5,2,FALSE),0)</x:f>
        <x:v>0</x:v>
      </x:c>
      <x:c r="I23" s="13">
        <x:f>IFERROR(VLOOKUP(D23,Parametros!$G$2:$H$5,2,FALSE),0)</x:f>
        <x:v>0</x:v>
      </x:c>
      <x:c r="J23" s="13">
        <x:f>IFERROR(VLOOKUP(E23,Parametros!$J$2:$K$4,2,FALSE),0)</x:f>
        <x:v>0</x:v>
      </x:c>
      <x:c r="K23" s="13">
        <x:f>IFERROR(VLOOKUP(F23,Parametros!$M$2:$N$3,2,FALSE),0)</x:f>
        <x:v>0</x:v>
      </x:c>
      <x:c r="L23" s="12">
        <x:f>IF(B23="","",(H23+I23+J23+K23)*G23)</x:f>
      </x:c>
      <x:c r="M23" s="14">
        <x:f>IF(L23="","",IF(L23&lt;=3,"Muito Baixo",IF(L23&lt;=6,"Baixo",IF(L23&lt;=10,"Médio",IF(L23&lt;=14,"Alto","Muito Alto")))))</x:f>
      </x:c>
      <x:c r="N23" s="15" t="n"/>
      <x:c r="O23" s="15" t="n"/>
    </x:row>
    <x:row r="24" ht="24" customHeight="1">
      <x:c r="A24" t="n">
        <x:v>16</x:v>
      </x:c>
      <x:c r="B24" s="11" t="n"/>
      <x:c r="C24" s="11" t="n"/>
      <x:c r="D24" s="11" t="n"/>
      <x:c r="E24" s="11" t="n"/>
      <x:c r="F24" s="11" t="n"/>
      <x:c r="G24" s="12">
        <x:f>IFERROR(VLOOKUP(B24,Parametros!$A$2:$B$13,2,FALSE),0)</x:f>
        <x:v>0</x:v>
      </x:c>
      <x:c r="H24" s="13">
        <x:f>IFERROR(VLOOKUP(C24,Parametros!$D$2:$E$5,2,FALSE),0)</x:f>
        <x:v>0</x:v>
      </x:c>
      <x:c r="I24" s="13">
        <x:f>IFERROR(VLOOKUP(D24,Parametros!$G$2:$H$5,2,FALSE),0)</x:f>
        <x:v>0</x:v>
      </x:c>
      <x:c r="J24" s="13">
        <x:f>IFERROR(VLOOKUP(E24,Parametros!$J$2:$K$4,2,FALSE),0)</x:f>
        <x:v>0</x:v>
      </x:c>
      <x:c r="K24" s="13">
        <x:f>IFERROR(VLOOKUP(F24,Parametros!$M$2:$N$3,2,FALSE),0)</x:f>
        <x:v>0</x:v>
      </x:c>
      <x:c r="L24" s="12">
        <x:f>IF(B24="","",(H24+I24+J24+K24)*G24)</x:f>
      </x:c>
      <x:c r="M24" s="14">
        <x:f>IF(L24="","",IF(L24&lt;=3,"Muito Baixo",IF(L24&lt;=6,"Baixo",IF(L24&lt;=10,"Médio",IF(L24&lt;=14,"Alto","Muito Alto")))))</x:f>
      </x:c>
      <x:c r="N24" s="15" t="n"/>
      <x:c r="O24" s="15" t="n"/>
    </x:row>
    <x:row r="25" ht="24" customHeight="1">
      <x:c r="A25" t="n">
        <x:v>17</x:v>
      </x:c>
      <x:c r="B25" s="11" t="n"/>
      <x:c r="C25" s="11" t="n"/>
      <x:c r="D25" s="11" t="n"/>
      <x:c r="E25" s="11" t="n"/>
      <x:c r="F25" s="11" t="n"/>
      <x:c r="G25" s="12">
        <x:f>IFERROR(VLOOKUP(B25,Parametros!$A$2:$B$13,2,FALSE),0)</x:f>
        <x:v>0</x:v>
      </x:c>
      <x:c r="H25" s="13">
        <x:f>IFERROR(VLOOKUP(C25,Parametros!$D$2:$E$5,2,FALSE),0)</x:f>
        <x:v>0</x:v>
      </x:c>
      <x:c r="I25" s="13">
        <x:f>IFERROR(VLOOKUP(D25,Parametros!$G$2:$H$5,2,FALSE),0)</x:f>
        <x:v>0</x:v>
      </x:c>
      <x:c r="J25" s="13">
        <x:f>IFERROR(VLOOKUP(E25,Parametros!$J$2:$K$4,2,FALSE),0)</x:f>
        <x:v>0</x:v>
      </x:c>
      <x:c r="K25" s="13">
        <x:f>IFERROR(VLOOKUP(F25,Parametros!$M$2:$N$3,2,FALSE),0)</x:f>
        <x:v>0</x:v>
      </x:c>
      <x:c r="L25" s="12">
        <x:f>IF(B25="","",(H25+I25+J25+K25)*G25)</x:f>
      </x:c>
      <x:c r="M25" s="14">
        <x:f>IF(L25="","",IF(L25&lt;=3,"Muito Baixo",IF(L25&lt;=6,"Baixo",IF(L25&lt;=10,"Médio",IF(L25&lt;=14,"Alto","Muito Alto")))))</x:f>
      </x:c>
      <x:c r="N25" s="15" t="n"/>
      <x:c r="O25" s="15" t="n"/>
    </x:row>
    <x:row r="26" ht="24" customHeight="1">
      <x:c r="A26" t="n">
        <x:v>18</x:v>
      </x:c>
      <x:c r="B26" s="11" t="n"/>
      <x:c r="C26" s="11" t="n"/>
      <x:c r="D26" s="11" t="n"/>
      <x:c r="E26" s="11" t="n"/>
      <x:c r="F26" s="11" t="n"/>
      <x:c r="G26" s="12">
        <x:f>IFERROR(VLOOKUP(B26,Parametros!$A$2:$B$13,2,FALSE),0)</x:f>
        <x:v>0</x:v>
      </x:c>
      <x:c r="H26" s="13">
        <x:f>IFERROR(VLOOKUP(C26,Parametros!$D$2:$E$5,2,FALSE),0)</x:f>
        <x:v>0</x:v>
      </x:c>
      <x:c r="I26" s="13">
        <x:f>IFERROR(VLOOKUP(D26,Parametros!$G$2:$H$5,2,FALSE),0)</x:f>
        <x:v>0</x:v>
      </x:c>
      <x:c r="J26" s="13">
        <x:f>IFERROR(VLOOKUP(E26,Parametros!$J$2:$K$4,2,FALSE),0)</x:f>
        <x:v>0</x:v>
      </x:c>
      <x:c r="K26" s="13">
        <x:f>IFERROR(VLOOKUP(F26,Parametros!$M$2:$N$3,2,FALSE),0)</x:f>
        <x:v>0</x:v>
      </x:c>
      <x:c r="L26" s="12">
        <x:f>IF(B26="","",(H26+I26+J26+K26)*G26)</x:f>
      </x:c>
      <x:c r="M26" s="14">
        <x:f>IF(L26="","",IF(L26&lt;=3,"Muito Baixo",IF(L26&lt;=6,"Baixo",IF(L26&lt;=10,"Médio",IF(L26&lt;=14,"Alto","Muito Alto")))))</x:f>
      </x:c>
      <x:c r="N26" s="15" t="n"/>
      <x:c r="O26" s="15" t="n"/>
    </x:row>
    <x:row r="27" ht="24" customHeight="1">
      <x:c r="A27" t="n">
        <x:v>19</x:v>
      </x:c>
      <x:c r="B27" s="11" t="n"/>
      <x:c r="C27" s="11" t="n"/>
      <x:c r="D27" s="11" t="n"/>
      <x:c r="E27" s="11" t="n"/>
      <x:c r="F27" s="11" t="n"/>
      <x:c r="G27" s="12">
        <x:f>IFERROR(VLOOKUP(B27,Parametros!$A$2:$B$13,2,FALSE),0)</x:f>
        <x:v>0</x:v>
      </x:c>
      <x:c r="H27" s="13">
        <x:f>IFERROR(VLOOKUP(C27,Parametros!$D$2:$E$5,2,FALSE),0)</x:f>
        <x:v>0</x:v>
      </x:c>
      <x:c r="I27" s="13">
        <x:f>IFERROR(VLOOKUP(D27,Parametros!$G$2:$H$5,2,FALSE),0)</x:f>
        <x:v>0</x:v>
      </x:c>
      <x:c r="J27" s="13">
        <x:f>IFERROR(VLOOKUP(E27,Parametros!$J$2:$K$4,2,FALSE),0)</x:f>
        <x:v>0</x:v>
      </x:c>
      <x:c r="K27" s="13">
        <x:f>IFERROR(VLOOKUP(F27,Parametros!$M$2:$N$3,2,FALSE),0)</x:f>
        <x:v>0</x:v>
      </x:c>
      <x:c r="L27" s="12">
        <x:f>IF(B27="","",(H27+I27+J27+K27)*G27)</x:f>
      </x:c>
      <x:c r="M27" s="14">
        <x:f>IF(L27="","",IF(L27&lt;=3,"Muito Baixo",IF(L27&lt;=6,"Baixo",IF(L27&lt;=10,"Médio",IF(L27&lt;=14,"Alto","Muito Alto")))))</x:f>
      </x:c>
      <x:c r="N27" s="15" t="n"/>
      <x:c r="O27" s="15" t="n"/>
    </x:row>
    <x:row r="28" ht="24" customHeight="1">
      <x:c r="A28" t="n">
        <x:v>20</x:v>
      </x:c>
      <x:c r="B28" s="11" t="n"/>
      <x:c r="C28" s="11" t="n"/>
      <x:c r="D28" s="11" t="n"/>
      <x:c r="E28" s="11" t="n"/>
      <x:c r="F28" s="11" t="n"/>
      <x:c r="G28" s="12">
        <x:f>IFERROR(VLOOKUP(B28,Parametros!$A$2:$B$13,2,FALSE),0)</x:f>
        <x:v>0</x:v>
      </x:c>
      <x:c r="H28" s="13">
        <x:f>IFERROR(VLOOKUP(C28,Parametros!$D$2:$E$5,2,FALSE),0)</x:f>
        <x:v>0</x:v>
      </x:c>
      <x:c r="I28" s="13">
        <x:f>IFERROR(VLOOKUP(D28,Parametros!$G$2:$H$5,2,FALSE),0)</x:f>
        <x:v>0</x:v>
      </x:c>
      <x:c r="J28" s="13">
        <x:f>IFERROR(VLOOKUP(E28,Parametros!$J$2:$K$4,2,FALSE),0)</x:f>
        <x:v>0</x:v>
      </x:c>
      <x:c r="K28" s="13">
        <x:f>IFERROR(VLOOKUP(F28,Parametros!$M$2:$N$3,2,FALSE),0)</x:f>
        <x:v>0</x:v>
      </x:c>
      <x:c r="L28" s="12">
        <x:f>IF(B28="","",(H28+I28+J28+K28)*G28)</x:f>
      </x:c>
      <x:c r="M28" s="14">
        <x:f>IF(L28="","",IF(L28&lt;=3,"Muito Baixo",IF(L28&lt;=6,"Baixo",IF(L28&lt;=10,"Médio",IF(L28&lt;=14,"Alto","Muito Alto")))))</x:f>
      </x:c>
      <x:c r="N28" s="15" t="n"/>
      <x:c r="O28" s="15" t="n"/>
    </x:row>
    <x:row r="29" ht="24" customHeight="1">
      <x:c r="A29" t="n">
        <x:v>21</x:v>
      </x:c>
      <x:c r="B29" s="11" t="n"/>
      <x:c r="C29" s="11" t="n"/>
      <x:c r="D29" s="11" t="n"/>
      <x:c r="E29" s="11" t="n"/>
      <x:c r="F29" s="11" t="n"/>
      <x:c r="G29" s="12">
        <x:f>IFERROR(VLOOKUP(B29,Parametros!$A$2:$B$13,2,FALSE),0)</x:f>
        <x:v>0</x:v>
      </x:c>
      <x:c r="H29" s="13">
        <x:f>IFERROR(VLOOKUP(C29,Parametros!$D$2:$E$5,2,FALSE),0)</x:f>
        <x:v>0</x:v>
      </x:c>
      <x:c r="I29" s="13">
        <x:f>IFERROR(VLOOKUP(D29,Parametros!$G$2:$H$5,2,FALSE),0)</x:f>
        <x:v>0</x:v>
      </x:c>
      <x:c r="J29" s="13">
        <x:f>IFERROR(VLOOKUP(E29,Parametros!$J$2:$K$4,2,FALSE),0)</x:f>
        <x:v>0</x:v>
      </x:c>
      <x:c r="K29" s="13">
        <x:f>IFERROR(VLOOKUP(F29,Parametros!$M$2:$N$3,2,FALSE),0)</x:f>
        <x:v>0</x:v>
      </x:c>
      <x:c r="L29" s="12">
        <x:f>IF(B29="","",(H29+I29+J29+K29)*G29)</x:f>
      </x:c>
      <x:c r="M29" s="14">
        <x:f>IF(L29="","",IF(L29&lt;=3,"Muito Baixo",IF(L29&lt;=6,"Baixo",IF(L29&lt;=10,"Médio",IF(L29&lt;=14,"Alto","Muito Alto")))))</x:f>
      </x:c>
      <x:c r="N29" s="15" t="n"/>
      <x:c r="O29" s="15" t="n"/>
    </x:row>
    <x:row r="30" ht="24" customHeight="1">
      <x:c r="A30" t="n">
        <x:v>22</x:v>
      </x:c>
      <x:c r="B30" s="11" t="n"/>
      <x:c r="C30" s="11" t="n"/>
      <x:c r="D30" s="11" t="n"/>
      <x:c r="E30" s="11" t="n"/>
      <x:c r="F30" s="11" t="n"/>
      <x:c r="G30" s="12">
        <x:f>IFERROR(VLOOKUP(B30,Parametros!$A$2:$B$13,2,FALSE),0)</x:f>
        <x:v>0</x:v>
      </x:c>
      <x:c r="H30" s="13">
        <x:f>IFERROR(VLOOKUP(C30,Parametros!$D$2:$E$5,2,FALSE),0)</x:f>
        <x:v>0</x:v>
      </x:c>
      <x:c r="I30" s="13">
        <x:f>IFERROR(VLOOKUP(D30,Parametros!$G$2:$H$5,2,FALSE),0)</x:f>
        <x:v>0</x:v>
      </x:c>
      <x:c r="J30" s="13">
        <x:f>IFERROR(VLOOKUP(E30,Parametros!$J$2:$K$4,2,FALSE),0)</x:f>
        <x:v>0</x:v>
      </x:c>
      <x:c r="K30" s="13">
        <x:f>IFERROR(VLOOKUP(F30,Parametros!$M$2:$N$3,2,FALSE),0)</x:f>
        <x:v>0</x:v>
      </x:c>
      <x:c r="L30" s="12">
        <x:f>IF(B30="","",(H30+I30+J30+K30)*G30)</x:f>
      </x:c>
      <x:c r="M30" s="14">
        <x:f>IF(L30="","",IF(L30&lt;=3,"Muito Baixo",IF(L30&lt;=6,"Baixo",IF(L30&lt;=10,"Médio",IF(L30&lt;=14,"Alto","Muito Alto")))))</x:f>
      </x:c>
      <x:c r="N30" s="15" t="n"/>
      <x:c r="O30" s="15" t="n"/>
    </x:row>
    <x:row r="31" ht="24" customHeight="1">
      <x:c r="A31" t="n">
        <x:v>23</x:v>
      </x:c>
      <x:c r="B31" s="11" t="n"/>
      <x:c r="C31" s="11" t="n"/>
      <x:c r="D31" s="11" t="n"/>
      <x:c r="E31" s="11" t="n"/>
      <x:c r="F31" s="11" t="n"/>
      <x:c r="G31" s="12">
        <x:f>IFERROR(VLOOKUP(B31,Parametros!$A$2:$B$13,2,FALSE),0)</x:f>
        <x:v>0</x:v>
      </x:c>
      <x:c r="H31" s="13">
        <x:f>IFERROR(VLOOKUP(C31,Parametros!$D$2:$E$5,2,FALSE),0)</x:f>
        <x:v>0</x:v>
      </x:c>
      <x:c r="I31" s="13">
        <x:f>IFERROR(VLOOKUP(D31,Parametros!$G$2:$H$5,2,FALSE),0)</x:f>
        <x:v>0</x:v>
      </x:c>
      <x:c r="J31" s="13">
        <x:f>IFERROR(VLOOKUP(E31,Parametros!$J$2:$K$4,2,FALSE),0)</x:f>
        <x:v>0</x:v>
      </x:c>
      <x:c r="K31" s="13">
        <x:f>IFERROR(VLOOKUP(F31,Parametros!$M$2:$N$3,2,FALSE),0)</x:f>
        <x:v>0</x:v>
      </x:c>
      <x:c r="L31" s="12">
        <x:f>IF(B31="","",(H31+I31+J31+K31)*G31)</x:f>
      </x:c>
      <x:c r="M31" s="14">
        <x:f>IF(L31="","",IF(L31&lt;=3,"Muito Baixo",IF(L31&lt;=6,"Baixo",IF(L31&lt;=10,"Médio",IF(L31&lt;=14,"Alto","Muito Alto")))))</x:f>
      </x:c>
      <x:c r="N31" s="15" t="n"/>
      <x:c r="O31" s="15" t="n"/>
    </x:row>
    <x:row r="32" ht="24" customHeight="1">
      <x:c r="A32" t="n">
        <x:v>24</x:v>
      </x:c>
      <x:c r="B32" s="11" t="n"/>
      <x:c r="C32" s="11" t="n"/>
      <x:c r="D32" s="11" t="n"/>
      <x:c r="E32" s="11" t="n"/>
      <x:c r="F32" s="11" t="n"/>
      <x:c r="G32" s="12">
        <x:f>IFERROR(VLOOKUP(B32,Parametros!$A$2:$B$13,2,FALSE),0)</x:f>
        <x:v>0</x:v>
      </x:c>
      <x:c r="H32" s="13">
        <x:f>IFERROR(VLOOKUP(C32,Parametros!$D$2:$E$5,2,FALSE),0)</x:f>
        <x:v>0</x:v>
      </x:c>
      <x:c r="I32" s="13">
        <x:f>IFERROR(VLOOKUP(D32,Parametros!$G$2:$H$5,2,FALSE),0)</x:f>
        <x:v>0</x:v>
      </x:c>
      <x:c r="J32" s="13">
        <x:f>IFERROR(VLOOKUP(E32,Parametros!$J$2:$K$4,2,FALSE),0)</x:f>
        <x:v>0</x:v>
      </x:c>
      <x:c r="K32" s="13">
        <x:f>IFERROR(VLOOKUP(F32,Parametros!$M$2:$N$3,2,FALSE),0)</x:f>
        <x:v>0</x:v>
      </x:c>
      <x:c r="L32" s="12">
        <x:f>IF(B32="","",(H32+I32+J32+K32)*G32)</x:f>
      </x:c>
      <x:c r="M32" s="14">
        <x:f>IF(L32="","",IF(L32&lt;=3,"Muito Baixo",IF(L32&lt;=6,"Baixo",IF(L32&lt;=10,"Médio",IF(L32&lt;=14,"Alto","Muito Alto")))))</x:f>
      </x:c>
      <x:c r="N32" s="15" t="n"/>
      <x:c r="O32" s="15" t="n"/>
    </x:row>
    <x:row r="33" ht="24" customHeight="1">
      <x:c r="A33" t="n">
        <x:v>25</x:v>
      </x:c>
      <x:c r="B33" s="11" t="n"/>
      <x:c r="C33" s="11" t="n"/>
      <x:c r="D33" s="11" t="n"/>
      <x:c r="E33" s="11" t="n"/>
      <x:c r="F33" s="11" t="n"/>
      <x:c r="G33" s="12">
        <x:f>IFERROR(VLOOKUP(B33,Parametros!$A$2:$B$13,2,FALSE),0)</x:f>
        <x:v>0</x:v>
      </x:c>
      <x:c r="H33" s="13">
        <x:f>IFERROR(VLOOKUP(C33,Parametros!$D$2:$E$5,2,FALSE),0)</x:f>
        <x:v>0</x:v>
      </x:c>
      <x:c r="I33" s="13">
        <x:f>IFERROR(VLOOKUP(D33,Parametros!$G$2:$H$5,2,FALSE),0)</x:f>
        <x:v>0</x:v>
      </x:c>
      <x:c r="J33" s="13">
        <x:f>IFERROR(VLOOKUP(E33,Parametros!$J$2:$K$4,2,FALSE),0)</x:f>
        <x:v>0</x:v>
      </x:c>
      <x:c r="K33" s="13">
        <x:f>IFERROR(VLOOKUP(F33,Parametros!$M$2:$N$3,2,FALSE),0)</x:f>
        <x:v>0</x:v>
      </x:c>
      <x:c r="L33" s="12">
        <x:f>IF(B33="","",(H33+I33+J33+K33)*G33)</x:f>
      </x:c>
      <x:c r="M33" s="14">
        <x:f>IF(L33="","",IF(L33&lt;=3,"Muito Baixo",IF(L33&lt;=6,"Baixo",IF(L33&lt;=10,"Médio",IF(L33&lt;=14,"Alto","Muito Alto")))))</x:f>
      </x:c>
      <x:c r="N33" s="15" t="n"/>
      <x:c r="O33" s="15" t="n"/>
    </x:row>
    <x:row r="35">
      <x:c r="A35" s="17" t="inlineStr">
        <x:is>
          <x:t xml:space="preserve">Escala sugerida</x:t>
        </x:is>
      </x:c>
      <x:c r="B35" s="18" t="inlineStr">
        <x:is>
          <x:t xml:space="preserve">Pontuação do item = (Pts Estado + Pts Gravidade + Pts Extensão + Pts Ativa) x Peso</x:t>
        </x:is>
      </x:c>
      <x:c r="C35" s="30" t="n"/>
      <x:c r="D35" s="30" t="n"/>
      <x:c r="E35" s="30" t="n"/>
      <x:c r="F35" s="30" t="n"/>
      <x:c r="G35" s="30" t="n"/>
      <x:c r="H35" s="30" t="n"/>
      <x:c r="I35" s="31" t="n"/>
    </x:row>
  </x:sheetData>
  <x:mergeCells>
    <x:mergeCell ref="A4:B4"/>
    <x:mergeCell ref="H3:R5"/>
    <x:mergeCell ref="Q7:R7"/>
    <x:mergeCell ref="D5:E5"/>
    <x:mergeCell ref="A5:B5"/>
    <x:mergeCell ref="D4:E4"/>
    <x:mergeCell ref="A1:R1"/>
    <x:mergeCell ref="D3:E3"/>
    <x:mergeCell ref="A3:B3"/>
    <x:mergeCell ref="B35:I35"/>
  </x:mergeCells>
  <x:conditionalFormatting sqref="M9:M33">
    <x:cfRule type="expression" dxfId="0" priority="1">
      <x:formula>M9="Muito Baixo"</x:formula>
    </x:cfRule>
    <x:cfRule type="expression" dxfId="1" priority="2">
      <x:formula>M9="Baixo"</x:formula>
    </x:cfRule>
    <x:cfRule type="expression" dxfId="2" priority="3">
      <x:formula>M9="Médio"</x:formula>
    </x:cfRule>
    <x:cfRule type="expression" dxfId="3" priority="4">
      <x:formula>M9="Alto"</x:formula>
    </x:cfRule>
    <x:cfRule type="expression" dxfId="4" priority="5">
      <x:formula>M9="Muito Alto"</x:formula>
    </x:cfRule>
  </x:conditionalFormatting>
  <x:conditionalFormatting sqref="R12:R12">
    <x:cfRule type="expression" dxfId="0" priority="6">
      <x:formula>R12="R1 - Baixo"</x:formula>
    </x:cfRule>
    <x:cfRule type="expression" dxfId="2" priority="7">
      <x:formula>R12="R2 - Médio"</x:formula>
    </x:cfRule>
    <x:cfRule type="expression" dxfId="3" priority="8">
      <x:formula>R12="R3 - Alto"</x:formula>
    </x:cfRule>
    <x:cfRule type="expression" dxfId="4" priority="9">
      <x:formula>R12="R4 - Muito Alto"</x:formula>
    </x:cfRule>
  </x:conditionalFormatting>
  <x:dataValidations count="5">
    <x:dataValidation type="list" allowBlank="1" showDropDown="0" showInputMessage="0" showErrorMessage="0" sqref="B9:B33">
      <x:formula1>=Parametros!$A$2:$A$13</x:formula1>
    </x:dataValidation>
    <x:dataValidation type="list" allowBlank="1" showDropDown="0" showInputMessage="0" showErrorMessage="0" sqref="C9:C33">
      <x:formula1>=Parametros!$D$2:$D$5</x:formula1>
    </x:dataValidation>
    <x:dataValidation type="list" allowBlank="1" showDropDown="0" showInputMessage="0" showErrorMessage="0" sqref="D9:D33">
      <x:formula1>=Parametros!$G$2:$G$5</x:formula1>
    </x:dataValidation>
    <x:dataValidation type="list" allowBlank="1" showDropDown="0" showInputMessage="0" showErrorMessage="0" sqref="E9:E33">
      <x:formula1>=Parametros!$J$2:$J$4</x:formula1>
    </x:dataValidation>
    <x:dataValidation type="list" allowBlank="1" showDropDown="0" showInputMessage="0" showErrorMessage="0" sqref="F9:F33">
      <x:formula1>=Parametros!$M$2:$M$3</x:formula1>
    </x:dataValidation>
  </x:dataValidations>
  <x:pageMargins left="0.7" right="0.7" top="0.75" bottom="0.75" header="0.3" footer="0.3"/>
  <x:legacyDrawing xmlns:r="http://schemas.openxmlformats.org/officeDocument/2006/relationships" r:id="Rcaeb8b22cebd47ac"/>
  <x:tableParts count="1">
    <x:tablePart xmlns:r="http://schemas.openxmlformats.org/officeDocument/2006/relationships" r:id="Rbf67e2a9e98f4f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0" customWidth="1"/>
    <x:col min="4" max="4" width="20" customWidth="1"/>
    <x:col min="5" max="5" width="10" customWidth="1"/>
    <x:col min="7" max="7" width="20" customWidth="1"/>
    <x:col min="8" max="8" width="10" customWidth="1"/>
    <x:col min="10" max="10" width="18" customWidth="1"/>
    <x:col min="11" max="11" width="10" customWidth="1"/>
    <x:col min="13" max="13" width="16" customWidth="1"/>
    <x:col min="14" max="14" width="10" customWidth="1"/>
    <x:col min="16" max="16" width="14" customWidth="1"/>
    <x:col min="17" max="17" width="14" customWidth="1"/>
    <x:col min="18" max="18" width="18" customWidth="1"/>
    <x:col min="19" max="19" width="14" customWidth="1"/>
    <x:col min="20" max="20" width="42" customWidth="1"/>
  </x:cols>
  <x:sheetData>
    <x:row r="1" ht="22" customHeight="1">
      <x:c r="A1" s="19" t="inlineStr">
        <x:is>
          <x:t xml:space="preserve">Pesos por sistema / elemento</x:t>
        </x:is>
      </x:c>
      <x:c r="D1" s="19" t="inlineStr">
        <x:is>
          <x:t xml:space="preserve">Pontos do estado</x:t>
        </x:is>
      </x:c>
      <x:c r="G1" s="19" t="inlineStr">
        <x:is>
          <x:t xml:space="preserve">Pontos da gravidade</x:t>
        </x:is>
      </x:c>
      <x:c r="J1" s="19" t="inlineStr">
        <x:is>
          <x:t xml:space="preserve">Pontos da extensão</x:t>
        </x:is>
      </x:c>
      <x:c r="M1" s="19" t="inlineStr">
        <x:is>
          <x:t xml:space="preserve">Pontos da atividade</x:t>
        </x:is>
      </x:c>
      <x:c r="P1" s="8" t="inlineStr">
        <x:is>
          <x:t xml:space="preserve">Faixas da classificação</x:t>
        </x:is>
      </x:c>
      <x:c r="Q1" s="32" t="n"/>
      <x:c r="R1" s="32" t="n"/>
      <x:c r="S1" s="8" t="inlineStr">
        <x:is>
          <x:t xml:space="preserve">Critério</x:t>
        </x:is>
      </x:c>
      <x:c r="T1" s="32" t="n"/>
    </x:row>
    <x:row r="2" ht="30" customHeight="1">
      <x:c r="A2" s="20" t="inlineStr">
        <x:is>
          <x:t xml:space="preserve">Fundação</x:t>
        </x:is>
      </x:c>
      <x:c r="B2" s="20" t="n">
        <x:v>1.5</x:v>
      </x:c>
      <x:c r="D2" s="20" t="inlineStr">
        <x:is>
          <x:t xml:space="preserve">Bom</x:t>
        </x:is>
      </x:c>
      <x:c r="E2" s="20" t="n">
        <x:v>0</x:v>
      </x:c>
      <x:c r="G2" s="20" t="inlineStr">
        <x:is>
          <x:t xml:space="preserve">Nenhuma</x:t>
        </x:is>
      </x:c>
      <x:c r="H2" s="20" t="n">
        <x:v>0</x:v>
      </x:c>
      <x:c r="J2" s="20" t="inlineStr">
        <x:is>
          <x:t xml:space="preserve">Pontual</x:t>
        </x:is>
      </x:c>
      <x:c r="K2" s="20" t="n">
        <x:v>1</x:v>
      </x:c>
      <x:c r="M2" s="20" t="inlineStr">
        <x:is>
          <x:t xml:space="preserve">Não</x:t>
        </x:is>
      </x:c>
      <x:c r="N2" s="20" t="n">
        <x:v>0</x:v>
      </x:c>
      <x:c r="P2" s="20" t="n">
        <x:v>0</x:v>
      </x:c>
      <x:c r="Q2" s="20" t="n">
        <x:v>3</x:v>
      </x:c>
      <x:c r="R2" s="20" t="inlineStr">
        <x:is>
          <x:t xml:space="preserve">Muito Baixo</x:t>
        </x:is>
      </x:c>
      <x:c r="S2" s="20" t="inlineStr">
        <x:is>
          <x:t xml:space="preserve">R1 - Baixo</x:t>
        </x:is>
      </x:c>
      <x:c r="T2" s="20" t="inlineStr">
        <x:is>
          <x:t xml:space="preserve">Maior pontuação &lt; 6 e média &lt; 6</x:t>
        </x:is>
      </x:c>
    </x:row>
    <x:row r="3" ht="30" customHeight="1">
      <x:c r="A3" s="20" t="inlineStr">
        <x:is>
          <x:t xml:space="preserve">Estrutura (pilares, vigas, lajes)</x:t>
        </x:is>
      </x:c>
      <x:c r="B3" s="20" t="n">
        <x:v>1.5</x:v>
      </x:c>
      <x:c r="D3" s="20" t="inlineStr">
        <x:is>
          <x:t xml:space="preserve">Regular</x:t>
        </x:is>
      </x:c>
      <x:c r="E3" s="20" t="n">
        <x:v>2</x:v>
      </x:c>
      <x:c r="G3" s="20" t="inlineStr">
        <x:is>
          <x:t xml:space="preserve">Leve</x:t>
        </x:is>
      </x:c>
      <x:c r="H3" s="20" t="n">
        <x:v>1</x:v>
      </x:c>
      <x:c r="J3" s="20" t="inlineStr">
        <x:is>
          <x:t xml:space="preserve">Setorial</x:t>
        </x:is>
      </x:c>
      <x:c r="K3" s="20" t="n">
        <x:v>2</x:v>
      </x:c>
      <x:c r="M3" s="20" t="inlineStr">
        <x:is>
          <x:t xml:space="preserve">Sim</x:t>
        </x:is>
      </x:c>
      <x:c r="N3" s="20" t="n">
        <x:v>2</x:v>
      </x:c>
      <x:c r="P3" s="20" t="n">
        <x:v>3.01</x:v>
      </x:c>
      <x:c r="Q3" s="20" t="n">
        <x:v>6</x:v>
      </x:c>
      <x:c r="R3" s="20" t="inlineStr">
        <x:is>
          <x:t xml:space="preserve">Baixo</x:t>
        </x:is>
      </x:c>
      <x:c r="S3" s="20" t="inlineStr">
        <x:is>
          <x:t xml:space="preserve">R2 - Médio</x:t>
        </x:is>
      </x:c>
      <x:c r="T3" s="20" t="inlineStr">
        <x:is>
          <x:t xml:space="preserve">Maior pontuação entre 6 e 10,9 ou média &gt;= 6</x:t>
        </x:is>
      </x:c>
    </x:row>
    <x:row r="4" ht="30" customHeight="1">
      <x:c r="A4" s="20" t="inlineStr">
        <x:is>
          <x:t xml:space="preserve">Alvenaria / Vedação</x:t>
        </x:is>
      </x:c>
      <x:c r="B4" s="20" t="n">
        <x:v>1</x:v>
      </x:c>
      <x:c r="D4" s="20" t="inlineStr">
        <x:is>
          <x:t xml:space="preserve">Ruim</x:t>
        </x:is>
      </x:c>
      <x:c r="E4" s="20" t="n">
        <x:v>4</x:v>
      </x:c>
      <x:c r="G4" s="20" t="inlineStr">
        <x:is>
          <x:t xml:space="preserve">Moderada</x:t>
        </x:is>
      </x:c>
      <x:c r="H4" s="20" t="n">
        <x:v>3</x:v>
      </x:c>
      <x:c r="J4" s="20" t="inlineStr">
        <x:is>
          <x:t xml:space="preserve">Generalizada</x:t>
        </x:is>
      </x:c>
      <x:c r="K4" s="20" t="n">
        <x:v>4</x:v>
      </x:c>
      <x:c r="P4" s="20" t="n">
        <x:v>6.01</x:v>
      </x:c>
      <x:c r="Q4" s="20" t="n">
        <x:v>10</x:v>
      </x:c>
      <x:c r="R4" s="20" t="inlineStr">
        <x:is>
          <x:t xml:space="preserve">Médio</x:t>
        </x:is>
      </x:c>
      <x:c r="S4" s="20" t="inlineStr">
        <x:is>
          <x:t xml:space="preserve">R3 - Alto</x:t>
        </x:is>
      </x:c>
      <x:c r="T4" s="20" t="inlineStr">
        <x:is>
          <x:t xml:space="preserve">Maior pontuação entre 11 e 14,9</x:t>
        </x:is>
      </x:c>
    </x:row>
    <x:row r="5" ht="30" customHeight="1">
      <x:c r="A5" s="20" t="inlineStr">
        <x:is>
          <x:t xml:space="preserve">Cobertura / Telhado</x:t>
        </x:is>
      </x:c>
      <x:c r="B5" s="20" t="n">
        <x:v>0.9</x:v>
      </x:c>
      <x:c r="D5" s="20" t="inlineStr">
        <x:is>
          <x:t xml:space="preserve">Péssimo</x:t>
        </x:is>
      </x:c>
      <x:c r="E5" s="20" t="n">
        <x:v>6</x:v>
      </x:c>
      <x:c r="G5" s="20" t="inlineStr">
        <x:is>
          <x:t xml:space="preserve">Severa</x:t>
        </x:is>
      </x:c>
      <x:c r="H5" s="20" t="n">
        <x:v>5</x:v>
      </x:c>
      <x:c r="P5" s="20" t="n">
        <x:v>10.01</x:v>
      </x:c>
      <x:c r="Q5" s="20" t="n">
        <x:v>14</x:v>
      </x:c>
      <x:c r="R5" s="20" t="inlineStr">
        <x:is>
          <x:t xml:space="preserve">Alto</x:t>
        </x:is>
      </x:c>
      <x:c r="S5" s="20" t="inlineStr">
        <x:is>
          <x:t xml:space="preserve">R4 - Muito Alto</x:t>
        </x:is>
      </x:c>
      <x:c r="T5" s="20" t="inlineStr">
        <x:is>
          <x:t xml:space="preserve">Maior pontuação &gt;= 15 ou 2+ itens Alto/Muito Alto</x:t>
        </x:is>
      </x:c>
    </x:row>
    <x:row r="6">
      <x:c r="A6" s="20" t="inlineStr">
        <x:is>
          <x:t xml:space="preserve">Piso / Contrapiso</x:t>
        </x:is>
      </x:c>
      <x:c r="B6" s="20" t="n">
        <x:v>0.8</x:v>
      </x:c>
      <x:c r="P6" s="20" t="n">
        <x:v>14.01</x:v>
      </x:c>
      <x:c r="Q6" s="20" t="n">
        <x:v>999</x:v>
      </x:c>
      <x:c r="R6" s="20" t="inlineStr">
        <x:is>
          <x:t xml:space="preserve">Muito Alto</x:t>
        </x:is>
      </x:c>
    </x:row>
    <x:row r="7">
      <x:c r="A7" s="20" t="inlineStr">
        <x:is>
          <x:t xml:space="preserve">Escadas / Circulação</x:t>
        </x:is>
      </x:c>
      <x:c r="B7" s="20" t="n">
        <x:v>1</x:v>
      </x:c>
    </x:row>
    <x:row r="8">
      <x:c r="A8" s="20" t="inlineStr">
        <x:is>
          <x:t xml:space="preserve">Muro de arrimo / contenção</x:t>
        </x:is>
      </x:c>
      <x:c r="B8" s="20" t="n">
        <x:v>1.4</x:v>
      </x:c>
    </x:row>
    <x:row r="9">
      <x:c r="A9" s="20" t="inlineStr">
        <x:is>
          <x:t xml:space="preserve">Fachada / Revestimento</x:t>
        </x:is>
      </x:c>
      <x:c r="B9" s="20" t="n">
        <x:v>0.8</x:v>
      </x:c>
    </x:row>
    <x:row r="10">
      <x:c r="A10" s="20" t="inlineStr">
        <x:is>
          <x:t xml:space="preserve">Drenagem / águas pluviais</x:t>
        </x:is>
      </x:c>
      <x:c r="B10" s="20" t="n">
        <x:v>1.1</x:v>
      </x:c>
    </x:row>
    <x:row r="11">
      <x:c r="A11" s="20" t="inlineStr">
        <x:is>
          <x:t xml:space="preserve">Instalações elétricas</x:t>
        </x:is>
      </x:c>
      <x:c r="B11" s="20" t="n">
        <x:v>0.9</x:v>
      </x:c>
    </x:row>
    <x:row r="12">
      <x:c r="A12" s="20" t="inlineStr">
        <x:is>
          <x:t xml:space="preserve">Instalações hidráulicas</x:t>
        </x:is>
      </x:c>
      <x:c r="B12" s="20" t="n">
        <x:v>0.8</x:v>
      </x:c>
    </x:row>
    <x:row r="13">
      <x:c r="A13" s="20" t="inlineStr">
        <x:is>
          <x:t xml:space="preserve">Talude / encosta próxima</x:t>
        </x:is>
      </x:c>
      <x:c r="B13" s="20" t="n">
        <x:v>1.4</x:v>
      </x:c>
    </x:row>
  </x:sheetData>
  <x:pageMargins left="0.7" right="0.7" top="0.75" bottom="0.75" header="0.3" footer="0.3"/>
  <x:legacyDrawing xmlns:r="http://schemas.openxmlformats.org/officeDocument/2006/relationships" r:id="R7323d3bc5b1743e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Como usar a planilha</x:t>
        </x:is>
      </x:c>
    </x:row>
    <x:row r="3" ht="36" customHeight="1">
      <x:c r="A3" s="22" t="inlineStr">
        <x:is>
          <x:t xml:space="preserve">1. Na aba 'Avaliacao', preencha os dados da vistoria e selecione, em azul, o sistema/elemento, o estado, a gravidade, a extensão e se a manifestação está ativa.</x:t>
        </x:is>
      </x:c>
    </x:row>
    <x:row r="4" ht="36" customHeight="1">
      <x:c r="A4" s="22" t="inlineStr">
        <x:is>
          <x:t xml:space="preserve">2. A coluna 'Peso' considera o impacto estrutural típico do elemento. Você pode ajustar os pesos na aba 'Parametros'.</x:t>
        </x:is>
      </x:c>
    </x:row>
    <x:row r="5" ht="36" customHeight="1">
      <x:c r="A5" s="22" t="inlineStr">
        <x:is>
          <x:t xml:space="preserve">3. A pontuação do item é calculada como: (Pts Estado + Pts Gravidade + Pts Extensão + Pts Ativa) x Peso.</x:t>
        </x:is>
      </x:c>
    </x:row>
    <x:row r="6" ht="36" customHeight="1">
      <x:c r="A6" s="22" t="inlineStr">
        <x:is>
          <x:t xml:space="preserve">4. A classificação do item e o risco global são calculados automaticamente.</x:t>
        </x:is>
      </x:c>
    </x:row>
    <x:row r="7" ht="36" customHeight="1">
      <x:c r="A7" s="22" t="inlineStr">
        <x:is>
          <x:t xml:space="preserve">5. Critério sugerido do risco global: R1 (baixo), R2 (médio), R3 (alto), R4 (muito alto). Ajuste livremente às regras do seu órgão ou método de inspeção.</x:t>
        </x:is>
      </x:c>
    </x:row>
    <x:row r="8" ht="36" customHeight="1">
      <x:c r="A8" s="22" t="inlineStr">
        <x:is>
          <x:t xml:space="preserve">6. As células em azul são editáveis; as células verdes/cinzas são automáticas.</x:t>
        </x:is>
      </x:c>
    </x:row>
  </x:sheetData>
  <x:pageMargins left="0.7" right="0.7" top="0.75" bottom="0.75" header="0.3" footer="0.3"/>
</x:worksheet>
</file>