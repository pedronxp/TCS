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500"/>
  </bookViews>
  <sheets>
    <sheet name="Vistoria_Risco_Deslizamento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2" i="1"/>
  <c r="C10" i="1"/>
  <c r="C9" i="1"/>
</calcChain>
</file>

<file path=xl/sharedStrings.xml><?xml version="1.0" encoding="utf-8"?>
<sst xmlns="http://schemas.openxmlformats.org/spreadsheetml/2006/main" count="33" uniqueCount="30">
  <si>
    <t>Campo</t>
  </si>
  <si>
    <t>Resposta</t>
  </si>
  <si>
    <t>Pontuação</t>
  </si>
  <si>
    <t>Referencia</t>
  </si>
  <si>
    <t>Caracterização do local</t>
  </si>
  <si>
    <t>Encosta natural</t>
  </si>
  <si>
    <t>NATURAL 0 ATERRO 2</t>
  </si>
  <si>
    <t>Inclinação da encosta</t>
  </si>
  <si>
    <t>17°</t>
  </si>
  <si>
    <t>10°- 0   17°- 1  30° - 2   60°- 3  90°- 4</t>
  </si>
  <si>
    <t>Água - drenagem</t>
  </si>
  <si>
    <t>Inexistente</t>
  </si>
  <si>
    <t>Inexistente- 2 Precário- 1 Satisfatório- 0</t>
  </si>
  <si>
    <t>Vegetação no talude</t>
  </si>
  <si>
    <t>Árvores</t>
  </si>
  <si>
    <t>Pres. Arvores-0 veg Rasteira- 01 Área Desmatada-2  area de Cultivo 2</t>
  </si>
  <si>
    <t>Trincas</t>
  </si>
  <si>
    <t>Sim</t>
  </si>
  <si>
    <t>Degraus de abatimento</t>
  </si>
  <si>
    <t>Inclinação de estruturas</t>
  </si>
  <si>
    <t>Muros embarrigados</t>
  </si>
  <si>
    <t>Não</t>
  </si>
  <si>
    <t>Trinca de escorregamento próxima</t>
  </si>
  <si>
    <t>Sem risco aparente</t>
  </si>
  <si>
    <t>Processos de instabilização</t>
  </si>
  <si>
    <t xml:space="preserve">Esperado- 1  Ja Ocorrido 3  Sem risco aparente- 0 </t>
  </si>
  <si>
    <t>TOTAL</t>
  </si>
  <si>
    <t>CLASSIFICAÇÃO</t>
  </si>
  <si>
    <t>Esperado</t>
  </si>
  <si>
    <t>Já ocorrido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</si>
</sst>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D20" sqref="D20"/>
    </sheetView>
  </sheetViews>
  <sheetFormatPr defaultColWidth="9" defaultRowHeight="15"/>
  <cols>
    <col min="1" max="1" width="34.140625" customWidth="1"/>
    <col min="2" max="2" width="17.140625" customWidth="1"/>
    <col min="3" max="3" width="12" customWidth="1"/>
    <col min="4" max="4" width="62.140625" customWidth="1"/>
    <col min="7" max="7" width="19.140625" customWidth="1"/>
  </cols>
  <sheetData>
    <row r="1" spans="1:7" s="1" customFormat="1" ht="15.75">
      <c r="A1" s="2" t="s">
        <v>0</v>
      </c>
      <c r="B1" s="2" t="s">
        <v>1</v>
      </c>
      <c r="C1" s="2" t="s">
        <v>2</v>
      </c>
      <c r="D1" s="3" t="s">
        <v>3</v>
      </c>
    </row>
    <row r="2" spans="1:7">
      <c r="A2" s="4" t="s">
        <v>4</v>
      </c>
      <c r="B2" s="4" t="s">
        <v>5</v>
      </c>
      <c r="C2" s="4"/>
      <c r="D2" s="4" t="s">
        <v>6</v>
      </c>
      <c r="G2" s="7" t="s">
        <v>28</v>
      </c>
    </row>
    <row r="3" spans="1:7">
      <c r="A3" s="4" t="s">
        <v>7</v>
      </c>
      <c r="B3" s="4" t="s">
        <v>8</v>
      </c>
      <c r="C3" s="4">
        <v>1</v>
      </c>
      <c r="D3" s="4" t="s">
        <v>9</v>
      </c>
      <c r="G3" s="7" t="s">
        <v>29</v>
      </c>
    </row>
    <row r="4" spans="1:7">
      <c r="A4" s="4" t="s">
        <v>10</v>
      </c>
      <c r="B4" s="4" t="s">
        <v>11</v>
      </c>
      <c r="C4" s="4">
        <v>2</v>
      </c>
      <c r="D4" s="4" t="s">
        <v>12</v>
      </c>
      <c r="G4" s="7" t="s">
        <v>23</v>
      </c>
    </row>
    <row r="5" spans="1:7">
      <c r="A5" s="4" t="s">
        <v>13</v>
      </c>
      <c r="B5" s="4" t="s">
        <v>14</v>
      </c>
      <c r="C5" s="4">
        <v>2</v>
      </c>
      <c r="D5" s="4" t="s">
        <v>15</v>
      </c>
    </row>
    <row r="6" spans="1:7">
      <c r="A6" s="4" t="s">
        <v>16</v>
      </c>
      <c r="B6" s="4" t="s">
        <v>17</v>
      </c>
      <c r="C6" s="4"/>
      <c r="D6" s="4"/>
    </row>
    <row r="7" spans="1:7">
      <c r="A7" s="4" t="s">
        <v>18</v>
      </c>
      <c r="B7" s="4" t="s">
        <v>17</v>
      </c>
      <c r="C7" s="4"/>
      <c r="D7" s="4"/>
    </row>
    <row r="8" spans="1:7">
      <c r="A8" s="4" t="s">
        <v>19</v>
      </c>
      <c r="B8" s="4" t="s">
        <v>17</v>
      </c>
      <c r="C8" s="4"/>
      <c r="D8" s="4"/>
    </row>
    <row r="9" spans="1:7">
      <c r="A9" s="4" t="s">
        <v>20</v>
      </c>
      <c r="B9" s="4" t="s">
        <v>21</v>
      </c>
      <c r="C9" s="4">
        <f>IF(B9="Sim",2,0)</f>
        <v>0</v>
      </c>
      <c r="D9" s="4"/>
    </row>
    <row r="10" spans="1:7">
      <c r="A10" s="4" t="s">
        <v>22</v>
      </c>
      <c r="B10" s="4" t="s">
        <v>23</v>
      </c>
      <c r="C10" s="4">
        <f>IF(B10="Esperado",1,IF(B10="Já ocorrido",3,0))</f>
        <v>0</v>
      </c>
      <c r="D10" s="4"/>
    </row>
    <row r="11" spans="1:7">
      <c r="A11" s="4" t="s">
        <v>24</v>
      </c>
      <c r="B11" s="4"/>
      <c r="C11" s="4">
        <v>3</v>
      </c>
      <c r="D11" s="4" t="s">
        <v>25</v>
      </c>
    </row>
    <row r="12" spans="1:7">
      <c r="A12" s="5" t="s">
        <v>26</v>
      </c>
      <c r="B12" s="4"/>
      <c r="C12" s="4">
        <f>SUM(C2:C10)</f>
        <v>5</v>
      </c>
      <c r="D12" s="4"/>
    </row>
    <row r="14" spans="1:7">
      <c r="A14" s="6" t="s">
        <v>27</v>
      </c>
      <c r="C14" t="str">
        <f>IF(C12&lt;=1,"RISCO BAIXO",IF(C12&lt;=3,"RISCO MÉDIO",IF(C12&lt;=5,"RISCO ALTO","RISCO MUITO ALTO")))</f>
        <v>RISCO ALTO</v>
      </c>
    </row>
  </sheetData>
  <dataValidations count="7">
    <dataValidation type="list" allowBlank="1" sqref="B2">
      <formula1>"Encosta natural,Aterro lançado"</formula1>
    </dataValidation>
    <dataValidation type="list" allowBlank="1" sqref="B3">
      <formula1>"10°,17°,30°,60°,90°"</formula1>
    </dataValidation>
    <dataValidation type="list" allowBlank="1" sqref="B4">
      <formula1>"Inexistente,Precário,Satisfatório"</formula1>
    </dataValidation>
    <dataValidation type="list" allowBlank="1" sqref="B5">
      <formula1>"Árvores,Vegetação rasteira,Área desmatada,Área de cultivo"</formula1>
    </dataValidation>
    <dataValidation type="list" allowBlank="1" sqref="B10">
      <formula1>"Esperado,Já ocorrido,Sem risco aparente"</formula1>
    </dataValidation>
    <dataValidation type="list" allowBlank="1" sqref="B6:B9">
      <formula1>"Sim,Não"</formula1>
    </dataValidation>
    <dataValidation type="list" allowBlank="1" showInputMessage="1" showErrorMessage="1" sqref="B11">
      <formula1>$G$2:$G$4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Vistoria_Risco_Deslizamento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Ariane Silva Barros</cp:lastModifiedBy>
  <dcterms:created xsi:type="dcterms:W3CDTF">2026-03-04T23:15:00Z</dcterms:created>
  <dcterms:modified xsi:type="dcterms:W3CDTF">2026-03-05T16:20:16Z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367993F873B745A2BFF4A3C8F9C3D595_13</vt:lpwstr>
  </property>
  <property fmtid="{D5CDD505-2E9C-101B-9397-08002B2CF9AE}" pid="3" name="KSOProductBuildVer">
    <vt:lpwstr>1046-12.2.0.23196</vt:lpwstr>
  </property>
</Properties>
</file>